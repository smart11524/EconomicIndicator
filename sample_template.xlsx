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Book 840 G5\Videos\Behind her eyes\"/>
    </mc:Choice>
  </mc:AlternateContent>
  <xr:revisionPtr revIDLastSave="0" documentId="8_{186CE108-E5C1-467F-B3C5-F1B77A55858E}" xr6:coauthVersionLast="47" xr6:coauthVersionMax="47" xr10:uidLastSave="{00000000-0000-0000-0000-000000000000}"/>
  <bookViews>
    <workbookView xWindow="-108" yWindow="-108" windowWidth="23256" windowHeight="13176" firstSheet="17" activeTab="24" xr2:uid="{404404AF-6290-482C-892F-31686417E19D}"/>
  </bookViews>
  <sheets>
    <sheet name="Input&amp;Output" sheetId="1" r:id="rId1"/>
    <sheet name="Cash Flow" sheetId="2" r:id="rId2"/>
    <sheet name="NCF" sheetId="7" r:id="rId3"/>
    <sheet name="IRR%" sheetId="8" r:id="rId4"/>
    <sheet name="Payout" sheetId="6" r:id="rId5"/>
    <sheet name="Spider" sheetId="4" r:id="rId6"/>
    <sheet name="Tornado" sheetId="19" r:id="rId7"/>
    <sheet name="Prod.=0.5" sheetId="10" r:id="rId8"/>
    <sheet name="Prod.=max" sheetId="9" r:id="rId9"/>
    <sheet name="Prod.=min" sheetId="21" r:id="rId10"/>
    <sheet name="Prod.=1.5" sheetId="20" r:id="rId11"/>
    <sheet name="Price=0.5" sheetId="12" r:id="rId12"/>
    <sheet name="Price=min" sheetId="23" r:id="rId13"/>
    <sheet name="Price=max" sheetId="22" r:id="rId14"/>
    <sheet name="Price=1.5" sheetId="11" r:id="rId15"/>
    <sheet name="Capex=max" sheetId="24" r:id="rId16"/>
    <sheet name="Capex=0.5" sheetId="14" r:id="rId17"/>
    <sheet name="Capex=min" sheetId="25" r:id="rId18"/>
    <sheet name="Capex=1.5" sheetId="13" r:id="rId19"/>
    <sheet name="Opex=0.5" sheetId="16" r:id="rId20"/>
    <sheet name="Opex=min" sheetId="27" r:id="rId21"/>
    <sheet name="Opex=max" sheetId="26" r:id="rId22"/>
    <sheet name="Opex=1.5" sheetId="15" r:id="rId23"/>
    <sheet name="Tables" sheetId="3" r:id="rId24"/>
    <sheet name="Sensitivity" sheetId="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E9" i="15" l="1"/>
  <c r="BE10" i="15"/>
  <c r="BE11" i="15"/>
  <c r="BE12" i="15"/>
  <c r="BE13" i="15"/>
  <c r="BE14" i="15"/>
  <c r="BE15" i="15"/>
  <c r="BE16" i="15"/>
  <c r="BE30" i="15" s="1"/>
  <c r="BE17" i="15"/>
  <c r="BE18" i="15"/>
  <c r="BE19" i="15"/>
  <c r="BE20" i="15"/>
  <c r="BE21" i="15"/>
  <c r="BE22" i="15"/>
  <c r="BE23" i="15"/>
  <c r="BE24" i="15"/>
  <c r="BE25" i="15"/>
  <c r="BE26" i="15"/>
  <c r="BE27" i="15"/>
  <c r="BE28" i="15"/>
  <c r="BD9" i="15"/>
  <c r="BD10" i="15"/>
  <c r="BD11" i="15"/>
  <c r="BD12" i="15"/>
  <c r="BD13" i="15"/>
  <c r="BD14" i="15"/>
  <c r="BD15" i="15"/>
  <c r="BD16" i="15"/>
  <c r="BD30" i="15" s="1"/>
  <c r="BD17" i="15"/>
  <c r="BD18" i="15"/>
  <c r="BD19" i="15"/>
  <c r="BD20" i="15"/>
  <c r="BD21" i="15"/>
  <c r="BD22" i="15"/>
  <c r="BD23" i="15"/>
  <c r="BD24" i="15"/>
  <c r="BD25" i="15"/>
  <c r="BD26" i="15"/>
  <c r="BD27" i="15"/>
  <c r="BD28" i="15"/>
  <c r="BC9" i="15"/>
  <c r="BC10" i="15"/>
  <c r="BC11" i="15"/>
  <c r="BC12" i="15"/>
  <c r="BC13" i="15"/>
  <c r="BC14" i="15"/>
  <c r="BC15" i="15"/>
  <c r="BC16" i="15"/>
  <c r="BC30" i="15" s="1"/>
  <c r="BC17" i="15"/>
  <c r="BC18" i="15"/>
  <c r="BC19" i="15"/>
  <c r="BC20" i="15"/>
  <c r="BC21" i="15"/>
  <c r="BC22" i="15"/>
  <c r="BC23" i="15"/>
  <c r="BC24" i="15"/>
  <c r="BC25" i="15"/>
  <c r="BC26" i="15"/>
  <c r="BC27" i="15"/>
  <c r="BC28" i="15"/>
  <c r="BB9" i="15"/>
  <c r="BB10" i="15"/>
  <c r="BB11" i="15"/>
  <c r="BB12" i="15"/>
  <c r="BB13" i="15"/>
  <c r="BB14" i="15"/>
  <c r="BB15" i="15"/>
  <c r="BB16" i="15"/>
  <c r="BB17" i="15"/>
  <c r="BB18" i="15"/>
  <c r="BB19" i="15"/>
  <c r="BB20" i="15"/>
  <c r="BB21" i="15"/>
  <c r="BB22" i="15"/>
  <c r="BB23" i="15"/>
  <c r="BB24" i="15"/>
  <c r="BB25" i="15"/>
  <c r="BB26" i="15"/>
  <c r="BB27" i="15"/>
  <c r="BB28" i="15"/>
  <c r="BA9" i="15"/>
  <c r="BA10" i="15"/>
  <c r="BA11" i="15"/>
  <c r="BA12" i="15"/>
  <c r="BA13" i="15"/>
  <c r="BA14" i="15"/>
  <c r="BA15" i="15"/>
  <c r="BA16" i="15"/>
  <c r="BA30" i="15" s="1"/>
  <c r="BA17" i="15"/>
  <c r="BA18" i="15"/>
  <c r="BA19" i="15"/>
  <c r="BA20" i="15"/>
  <c r="BA21" i="15"/>
  <c r="BA22" i="15"/>
  <c r="BA23" i="15"/>
  <c r="BA24" i="15"/>
  <c r="BA25" i="15"/>
  <c r="BA26" i="15"/>
  <c r="BA27" i="15"/>
  <c r="BA28" i="15"/>
  <c r="AZ9" i="15"/>
  <c r="AZ10" i="15"/>
  <c r="AZ11" i="15"/>
  <c r="AZ12" i="15"/>
  <c r="AZ13" i="15"/>
  <c r="AZ14" i="15"/>
  <c r="AZ15" i="15"/>
  <c r="AZ16" i="15"/>
  <c r="AZ30" i="15" s="1"/>
  <c r="AZ17" i="15"/>
  <c r="AZ18" i="15"/>
  <c r="AZ19" i="15"/>
  <c r="AZ20" i="15"/>
  <c r="AZ21" i="15"/>
  <c r="AZ22" i="15"/>
  <c r="AZ23" i="15"/>
  <c r="AZ24" i="15"/>
  <c r="AZ25" i="15"/>
  <c r="AZ26" i="15"/>
  <c r="AZ27" i="15"/>
  <c r="AZ28" i="15"/>
  <c r="BE8" i="15"/>
  <c r="BD8" i="15"/>
  <c r="BC8" i="15"/>
  <c r="BB8" i="15"/>
  <c r="BA8" i="15"/>
  <c r="AZ8" i="15"/>
  <c r="AX9" i="15"/>
  <c r="AX10" i="15"/>
  <c r="AX11" i="15"/>
  <c r="AX12" i="15"/>
  <c r="AX13" i="15"/>
  <c r="AX14" i="15"/>
  <c r="AX15" i="15"/>
  <c r="AX16" i="15"/>
  <c r="AX30" i="15" s="1"/>
  <c r="AU34" i="15" s="1"/>
  <c r="AX17" i="15"/>
  <c r="AX18" i="15"/>
  <c r="AX19" i="15"/>
  <c r="AX20" i="15"/>
  <c r="AX21" i="15"/>
  <c r="AX22" i="15"/>
  <c r="AX23" i="15"/>
  <c r="AX24" i="15"/>
  <c r="AX25" i="15"/>
  <c r="AX26" i="15"/>
  <c r="AX27" i="15"/>
  <c r="AX28" i="15"/>
  <c r="AW10" i="15"/>
  <c r="AW11" i="15" s="1"/>
  <c r="AW12" i="15" s="1"/>
  <c r="AW13" i="15" s="1"/>
  <c r="AW14" i="15" s="1"/>
  <c r="AW15" i="15" s="1"/>
  <c r="AW16" i="15" s="1"/>
  <c r="AW17" i="15" s="1"/>
  <c r="AW18" i="15" s="1"/>
  <c r="AW19" i="15" s="1"/>
  <c r="AW20" i="15" s="1"/>
  <c r="AW21" i="15" s="1"/>
  <c r="AW22" i="15" s="1"/>
  <c r="AW23" i="15" s="1"/>
  <c r="AW24" i="15" s="1"/>
  <c r="AW25" i="15" s="1"/>
  <c r="AW26" i="15" s="1"/>
  <c r="AW27" i="15" s="1"/>
  <c r="AW28" i="15" s="1"/>
  <c r="AU9" i="15"/>
  <c r="AU10" i="15"/>
  <c r="AU11" i="15"/>
  <c r="AU12" i="15"/>
  <c r="AU13" i="15"/>
  <c r="AU14" i="15"/>
  <c r="AU15" i="15"/>
  <c r="AU16" i="15"/>
  <c r="AU30" i="15" s="1"/>
  <c r="AU17" i="15"/>
  <c r="AU18" i="15"/>
  <c r="AU19" i="15"/>
  <c r="AU20" i="15"/>
  <c r="AU21" i="15"/>
  <c r="AU22" i="15"/>
  <c r="AU23" i="15"/>
  <c r="AU24" i="15"/>
  <c r="AU25" i="15"/>
  <c r="AU26" i="15"/>
  <c r="AU27" i="15"/>
  <c r="AU28" i="15"/>
  <c r="AU8" i="15"/>
  <c r="AS9" i="15"/>
  <c r="AS10" i="15"/>
  <c r="AS11" i="15"/>
  <c r="AS12" i="15"/>
  <c r="AS13" i="15"/>
  <c r="AS14" i="15"/>
  <c r="AS15" i="15"/>
  <c r="AS16" i="15"/>
  <c r="AU33" i="15" s="1"/>
  <c r="AS17" i="15"/>
  <c r="AS18" i="15"/>
  <c r="AS19" i="15"/>
  <c r="AS20" i="15"/>
  <c r="AS21" i="15"/>
  <c r="AS22" i="15"/>
  <c r="AS23" i="15"/>
  <c r="AS24" i="15"/>
  <c r="AS25" i="15"/>
  <c r="AS26" i="15"/>
  <c r="AS27" i="15"/>
  <c r="AS28" i="15"/>
  <c r="AR9" i="15" a="1"/>
  <c r="AR9" i="15" s="1"/>
  <c r="AR30" i="15" s="1"/>
  <c r="AQ9" i="15" a="1"/>
  <c r="AQ9" i="15" s="1"/>
  <c r="AQ30" i="15" s="1"/>
  <c r="AO9" i="15" a="1"/>
  <c r="AO9" i="15" s="1"/>
  <c r="AO30" i="15" s="1"/>
  <c r="AL10" i="15"/>
  <c r="AL11" i="15"/>
  <c r="AL12" i="15"/>
  <c r="AL13" i="15"/>
  <c r="AL14" i="15"/>
  <c r="AL15" i="15"/>
  <c r="AL16" i="15"/>
  <c r="AL17" i="15"/>
  <c r="AL18" i="15"/>
  <c r="AL19" i="15"/>
  <c r="AL20" i="15"/>
  <c r="AL21" i="15"/>
  <c r="AL22" i="15"/>
  <c r="AL23" i="15"/>
  <c r="AL24" i="15"/>
  <c r="AL25" i="15"/>
  <c r="AL26" i="15"/>
  <c r="AL27" i="15"/>
  <c r="AL28" i="15"/>
  <c r="AL9" i="15"/>
  <c r="AK10" i="15"/>
  <c r="AK11" i="15"/>
  <c r="AK12" i="15"/>
  <c r="AK13" i="15"/>
  <c r="AK14" i="15"/>
  <c r="AK15" i="15"/>
  <c r="AK16" i="15"/>
  <c r="AK17" i="15"/>
  <c r="AK18" i="15"/>
  <c r="AK19" i="15"/>
  <c r="AK20" i="15"/>
  <c r="AK21" i="15"/>
  <c r="AK22" i="15"/>
  <c r="AK23" i="15"/>
  <c r="AK24" i="15"/>
  <c r="AK25" i="15"/>
  <c r="AK26" i="15"/>
  <c r="AK27" i="15"/>
  <c r="AK28" i="15"/>
  <c r="AK9" i="15"/>
  <c r="AH9" i="15" a="1"/>
  <c r="AH9" i="15" s="1"/>
  <c r="AH30" i="15" s="1"/>
  <c r="AG10" i="15"/>
  <c r="AG11" i="15"/>
  <c r="AG12" i="15"/>
  <c r="AG13" i="15"/>
  <c r="AG14" i="15"/>
  <c r="AG15" i="15"/>
  <c r="AG16" i="15"/>
  <c r="AG17" i="15"/>
  <c r="AG30" i="15" s="1"/>
  <c r="AG18" i="15"/>
  <c r="AG19" i="15"/>
  <c r="AG20" i="15"/>
  <c r="AG21" i="15"/>
  <c r="AG22" i="15"/>
  <c r="AG23" i="15"/>
  <c r="AG24" i="15"/>
  <c r="AG25" i="15"/>
  <c r="AG26" i="15"/>
  <c r="AG27" i="15"/>
  <c r="AG28" i="15"/>
  <c r="AG9" i="15"/>
  <c r="W9" i="15" a="1"/>
  <c r="W9" i="15" s="1"/>
  <c r="U10" i="15"/>
  <c r="U30" i="15" s="1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9" i="15"/>
  <c r="S28" i="15"/>
  <c r="R28" i="15"/>
  <c r="Q28" i="15"/>
  <c r="P28" i="15"/>
  <c r="O28" i="15"/>
  <c r="N28" i="15"/>
  <c r="M28" i="15"/>
  <c r="M9" i="15"/>
  <c r="M30" i="15" s="1"/>
  <c r="M9" i="15" a="1"/>
  <c r="M8" i="15" a="1"/>
  <c r="M8" i="15" s="1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C9" i="15"/>
  <c r="AL28" i="26"/>
  <c r="BE9" i="26"/>
  <c r="BE10" i="26"/>
  <c r="BE11" i="26"/>
  <c r="BE12" i="26"/>
  <c r="BE13" i="26"/>
  <c r="BE14" i="26"/>
  <c r="BE15" i="26"/>
  <c r="BE16" i="26"/>
  <c r="BE17" i="26"/>
  <c r="BE18" i="26"/>
  <c r="BE19" i="26"/>
  <c r="BE20" i="26"/>
  <c r="BE21" i="26"/>
  <c r="BE22" i="26"/>
  <c r="BE23" i="26"/>
  <c r="BE24" i="26"/>
  <c r="BE25" i="26"/>
  <c r="BE26" i="26"/>
  <c r="BE27" i="26"/>
  <c r="BD9" i="26"/>
  <c r="BD10" i="26"/>
  <c r="BD11" i="26"/>
  <c r="BD12" i="26"/>
  <c r="BD13" i="26"/>
  <c r="BD14" i="26"/>
  <c r="BD15" i="26"/>
  <c r="BD16" i="26"/>
  <c r="BD17" i="26"/>
  <c r="BD18" i="26"/>
  <c r="BD19" i="26"/>
  <c r="BD20" i="26"/>
  <c r="BD21" i="26"/>
  <c r="BD22" i="26"/>
  <c r="BD23" i="26"/>
  <c r="BD24" i="26"/>
  <c r="BD25" i="26"/>
  <c r="BD26" i="26"/>
  <c r="BD27" i="26"/>
  <c r="BC9" i="26"/>
  <c r="BC10" i="26"/>
  <c r="BC11" i="26"/>
  <c r="BC12" i="26"/>
  <c r="BC13" i="26"/>
  <c r="BC14" i="26"/>
  <c r="BC15" i="26"/>
  <c r="BC16" i="26"/>
  <c r="BC17" i="26"/>
  <c r="BC18" i="26"/>
  <c r="BC19" i="26"/>
  <c r="BC20" i="26"/>
  <c r="BC21" i="26"/>
  <c r="BC22" i="26"/>
  <c r="BC23" i="26"/>
  <c r="BC24" i="26"/>
  <c r="BC25" i="26"/>
  <c r="BC26" i="26"/>
  <c r="BC27" i="26"/>
  <c r="BB9" i="26"/>
  <c r="BB10" i="26"/>
  <c r="BB11" i="26"/>
  <c r="BB12" i="26"/>
  <c r="BB13" i="26"/>
  <c r="BB14" i="26"/>
  <c r="BB15" i="26"/>
  <c r="BB16" i="26"/>
  <c r="BB17" i="26"/>
  <c r="BB18" i="26"/>
  <c r="BB19" i="26"/>
  <c r="BB20" i="26"/>
  <c r="BB21" i="26"/>
  <c r="BB22" i="26"/>
  <c r="BB23" i="26"/>
  <c r="BB24" i="26"/>
  <c r="BB25" i="26"/>
  <c r="BB26" i="26"/>
  <c r="BB27" i="26"/>
  <c r="BA9" i="26"/>
  <c r="BA10" i="26"/>
  <c r="BA11" i="26"/>
  <c r="BA12" i="26"/>
  <c r="BA13" i="26"/>
  <c r="BA14" i="26"/>
  <c r="BA15" i="26"/>
  <c r="BA16" i="26"/>
  <c r="BA17" i="26"/>
  <c r="BA18" i="26"/>
  <c r="BA19" i="26"/>
  <c r="BA20" i="26"/>
  <c r="BA21" i="26"/>
  <c r="BA22" i="26"/>
  <c r="BA23" i="26"/>
  <c r="BA24" i="26"/>
  <c r="BA25" i="26"/>
  <c r="BA26" i="26"/>
  <c r="BA27" i="26"/>
  <c r="AZ9" i="26"/>
  <c r="AZ10" i="26"/>
  <c r="AZ11" i="26"/>
  <c r="AZ12" i="26"/>
  <c r="AZ13" i="26"/>
  <c r="AZ14" i="26"/>
  <c r="AZ15" i="26"/>
  <c r="AZ16" i="26"/>
  <c r="AZ17" i="26"/>
  <c r="AZ18" i="26"/>
  <c r="AZ19" i="26"/>
  <c r="AZ20" i="26"/>
  <c r="AZ21" i="26"/>
  <c r="AZ22" i="26"/>
  <c r="AZ23" i="26"/>
  <c r="AZ24" i="26"/>
  <c r="AZ25" i="26"/>
  <c r="AZ26" i="26"/>
  <c r="AZ27" i="26"/>
  <c r="AS9" i="26"/>
  <c r="BE8" i="26"/>
  <c r="BD8" i="26"/>
  <c r="BC8" i="26"/>
  <c r="BB8" i="26"/>
  <c r="BA8" i="26"/>
  <c r="AZ8" i="26"/>
  <c r="AX9" i="26"/>
  <c r="AX10" i="26"/>
  <c r="AX11" i="26"/>
  <c r="AX12" i="26"/>
  <c r="AX13" i="26"/>
  <c r="AX14" i="26"/>
  <c r="AX15" i="26"/>
  <c r="AX16" i="26"/>
  <c r="AX17" i="26"/>
  <c r="AX18" i="26"/>
  <c r="AX19" i="26"/>
  <c r="AX20" i="26"/>
  <c r="AX21" i="26"/>
  <c r="AX22" i="26"/>
  <c r="AX23" i="26"/>
  <c r="AX24" i="26"/>
  <c r="AX25" i="26"/>
  <c r="AX26" i="26"/>
  <c r="AX27" i="26"/>
  <c r="AW10" i="26"/>
  <c r="AW11" i="26"/>
  <c r="AW12" i="26" s="1"/>
  <c r="AW13" i="26" s="1"/>
  <c r="AW14" i="26" s="1"/>
  <c r="AW15" i="26" s="1"/>
  <c r="AW16" i="26" s="1"/>
  <c r="AW17" i="26" s="1"/>
  <c r="AW18" i="26" s="1"/>
  <c r="AW19" i="26" s="1"/>
  <c r="AW20" i="26" s="1"/>
  <c r="AW21" i="26" s="1"/>
  <c r="AW22" i="26" s="1"/>
  <c r="AW23" i="26" s="1"/>
  <c r="AW24" i="26" s="1"/>
  <c r="AW25" i="26" s="1"/>
  <c r="AW26" i="26" s="1"/>
  <c r="AW27" i="26" s="1"/>
  <c r="AU9" i="26"/>
  <c r="AU10" i="26"/>
  <c r="AU11" i="26"/>
  <c r="AU12" i="26"/>
  <c r="AU13" i="26"/>
  <c r="AU14" i="26"/>
  <c r="AU15" i="26"/>
  <c r="AU16" i="26"/>
  <c r="AU17" i="26"/>
  <c r="AU18" i="26"/>
  <c r="AU19" i="26"/>
  <c r="AU20" i="26"/>
  <c r="AU21" i="26"/>
  <c r="AU22" i="26"/>
  <c r="AU23" i="26"/>
  <c r="AU24" i="26"/>
  <c r="AU25" i="26"/>
  <c r="AU26" i="26"/>
  <c r="AU27" i="26"/>
  <c r="AS10" i="26"/>
  <c r="AS11" i="26"/>
  <c r="AS12" i="26"/>
  <c r="AS13" i="26"/>
  <c r="AS14" i="26"/>
  <c r="AS15" i="26"/>
  <c r="AS16" i="26"/>
  <c r="AS17" i="26"/>
  <c r="AS18" i="26"/>
  <c r="AS19" i="26"/>
  <c r="AS20" i="26"/>
  <c r="AS21" i="26"/>
  <c r="AS22" i="26"/>
  <c r="AS23" i="26"/>
  <c r="AS24" i="26"/>
  <c r="AS25" i="26"/>
  <c r="AS26" i="26"/>
  <c r="AS27" i="26"/>
  <c r="AR10" i="26"/>
  <c r="AR11" i="26"/>
  <c r="AR12" i="26"/>
  <c r="AR13" i="26"/>
  <c r="AR14" i="26"/>
  <c r="AR15" i="26"/>
  <c r="AR16" i="26"/>
  <c r="AR17" i="26"/>
  <c r="AR18" i="26"/>
  <c r="AR19" i="26"/>
  <c r="AR20" i="26"/>
  <c r="AR21" i="26"/>
  <c r="AR22" i="26"/>
  <c r="AR23" i="26"/>
  <c r="AR24" i="26"/>
  <c r="AR25" i="26"/>
  <c r="AR26" i="26"/>
  <c r="AR27" i="26"/>
  <c r="AR28" i="26"/>
  <c r="AS28" i="26" s="1"/>
  <c r="AR9" i="26"/>
  <c r="AQ10" i="26"/>
  <c r="AQ11" i="26"/>
  <c r="AQ12" i="26"/>
  <c r="AQ13" i="26"/>
  <c r="AQ14" i="26"/>
  <c r="AQ15" i="26"/>
  <c r="AQ16" i="26"/>
  <c r="AQ17" i="26"/>
  <c r="AQ18" i="26"/>
  <c r="AQ19" i="26"/>
  <c r="AQ20" i="26"/>
  <c r="AQ21" i="26"/>
  <c r="AQ22" i="26"/>
  <c r="AQ23" i="26"/>
  <c r="AQ24" i="26"/>
  <c r="AQ25" i="26"/>
  <c r="AQ26" i="26"/>
  <c r="AQ27" i="26"/>
  <c r="AQ28" i="26"/>
  <c r="AQ9" i="26"/>
  <c r="AO10" i="26"/>
  <c r="AO11" i="26"/>
  <c r="AO12" i="26"/>
  <c r="AO13" i="26"/>
  <c r="AO14" i="26"/>
  <c r="AO15" i="26"/>
  <c r="AO16" i="26"/>
  <c r="AO17" i="26"/>
  <c r="AO18" i="26"/>
  <c r="AO19" i="26"/>
  <c r="AO20" i="26"/>
  <c r="AO21" i="26"/>
  <c r="AO22" i="26"/>
  <c r="AO23" i="26"/>
  <c r="AO24" i="26"/>
  <c r="AO25" i="26"/>
  <c r="AO26" i="26"/>
  <c r="AO27" i="26"/>
  <c r="AO28" i="26"/>
  <c r="AO9" i="26"/>
  <c r="AG17" i="26"/>
  <c r="AG19" i="26"/>
  <c r="AG20" i="26"/>
  <c r="AG21" i="26"/>
  <c r="AG22" i="26"/>
  <c r="AG23" i="26"/>
  <c r="AG24" i="26"/>
  <c r="AG25" i="26"/>
  <c r="AG26" i="26"/>
  <c r="AG27" i="26"/>
  <c r="AG28" i="26"/>
  <c r="BE9" i="27"/>
  <c r="BE10" i="27"/>
  <c r="BE11" i="27"/>
  <c r="BE12" i="27"/>
  <c r="BE13" i="27"/>
  <c r="BE14" i="27"/>
  <c r="BE15" i="27"/>
  <c r="BE16" i="27"/>
  <c r="BE17" i="27"/>
  <c r="BE18" i="27"/>
  <c r="BE19" i="27"/>
  <c r="BE20" i="27"/>
  <c r="BE21" i="27"/>
  <c r="BE22" i="27"/>
  <c r="BE23" i="27"/>
  <c r="BE24" i="27"/>
  <c r="BE25" i="27"/>
  <c r="BE26" i="27"/>
  <c r="BE27" i="27"/>
  <c r="BE28" i="27"/>
  <c r="BD9" i="27"/>
  <c r="BD10" i="27"/>
  <c r="BD11" i="27"/>
  <c r="BD12" i="27"/>
  <c r="BD13" i="27"/>
  <c r="BD14" i="27"/>
  <c r="BD15" i="27"/>
  <c r="BD16" i="27"/>
  <c r="BD17" i="27"/>
  <c r="BD18" i="27"/>
  <c r="BD19" i="27"/>
  <c r="BD20" i="27"/>
  <c r="BD21" i="27"/>
  <c r="BD22" i="27"/>
  <c r="BD23" i="27"/>
  <c r="BD24" i="27"/>
  <c r="BD25" i="27"/>
  <c r="BD26" i="27"/>
  <c r="BD27" i="27"/>
  <c r="BD28" i="27"/>
  <c r="BC9" i="27"/>
  <c r="BC10" i="27"/>
  <c r="BC11" i="27"/>
  <c r="BC12" i="27"/>
  <c r="BC13" i="27"/>
  <c r="BC14" i="27"/>
  <c r="BC15" i="27"/>
  <c r="BC16" i="27"/>
  <c r="BC17" i="27"/>
  <c r="BC18" i="27"/>
  <c r="BC19" i="27"/>
  <c r="BC20" i="27"/>
  <c r="BC21" i="27"/>
  <c r="BC22" i="27"/>
  <c r="BC23" i="27"/>
  <c r="BC24" i="27"/>
  <c r="BC25" i="27"/>
  <c r="BC26" i="27"/>
  <c r="BC27" i="27"/>
  <c r="BC28" i="27"/>
  <c r="BB9" i="27"/>
  <c r="BB10" i="27"/>
  <c r="BB11" i="27"/>
  <c r="BB12" i="27"/>
  <c r="BB13" i="27"/>
  <c r="BB14" i="27"/>
  <c r="BB15" i="27"/>
  <c r="BB16" i="27"/>
  <c r="BB17" i="27"/>
  <c r="BB18" i="27"/>
  <c r="BB19" i="27"/>
  <c r="BB20" i="27"/>
  <c r="BB21" i="27"/>
  <c r="BB22" i="27"/>
  <c r="BB23" i="27"/>
  <c r="BB24" i="27"/>
  <c r="BB25" i="27"/>
  <c r="BB26" i="27"/>
  <c r="BB27" i="27"/>
  <c r="BB28" i="27"/>
  <c r="BA9" i="27"/>
  <c r="BA10" i="27"/>
  <c r="BA11" i="27"/>
  <c r="BA12" i="27"/>
  <c r="BA13" i="27"/>
  <c r="BA14" i="27"/>
  <c r="BA15" i="27"/>
  <c r="BA16" i="27"/>
  <c r="BA17" i="27"/>
  <c r="BA18" i="27"/>
  <c r="BA19" i="27"/>
  <c r="BA20" i="27"/>
  <c r="BA21" i="27"/>
  <c r="BA22" i="27"/>
  <c r="BA23" i="27"/>
  <c r="BA24" i="27"/>
  <c r="BA25" i="27"/>
  <c r="BA26" i="27"/>
  <c r="BA27" i="27"/>
  <c r="BA28" i="27"/>
  <c r="AZ9" i="27"/>
  <c r="AZ10" i="27"/>
  <c r="AZ11" i="27"/>
  <c r="AZ12" i="27"/>
  <c r="AZ13" i="27"/>
  <c r="AZ14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7" i="27"/>
  <c r="AZ28" i="27"/>
  <c r="BE8" i="27"/>
  <c r="BD8" i="27"/>
  <c r="BC8" i="27"/>
  <c r="BB8" i="27"/>
  <c r="BA8" i="27"/>
  <c r="AZ8" i="27"/>
  <c r="AX9" i="27"/>
  <c r="AX10" i="27"/>
  <c r="AX11" i="27"/>
  <c r="AX12" i="27"/>
  <c r="AX13" i="27"/>
  <c r="AX14" i="27"/>
  <c r="AX15" i="27"/>
  <c r="AX16" i="27"/>
  <c r="AX17" i="27"/>
  <c r="AX18" i="27"/>
  <c r="AX19" i="27"/>
  <c r="AX20" i="27"/>
  <c r="AX21" i="27"/>
  <c r="AX22" i="27"/>
  <c r="AX23" i="27"/>
  <c r="AX24" i="27"/>
  <c r="AX25" i="27"/>
  <c r="AX26" i="27"/>
  <c r="AX27" i="27"/>
  <c r="AX28" i="27"/>
  <c r="AW10" i="27"/>
  <c r="AW11" i="27"/>
  <c r="AW12" i="27" s="1"/>
  <c r="AW13" i="27" s="1"/>
  <c r="AW14" i="27" s="1"/>
  <c r="AW15" i="27" s="1"/>
  <c r="AW16" i="27" s="1"/>
  <c r="AW17" i="27" s="1"/>
  <c r="AW18" i="27" s="1"/>
  <c r="AW19" i="27" s="1"/>
  <c r="AW20" i="27" s="1"/>
  <c r="AW21" i="27" s="1"/>
  <c r="AW22" i="27" s="1"/>
  <c r="AW23" i="27" s="1"/>
  <c r="AW24" i="27" s="1"/>
  <c r="AW25" i="27" s="1"/>
  <c r="AW26" i="27" s="1"/>
  <c r="AW27" i="27" s="1"/>
  <c r="AW28" i="27" s="1"/>
  <c r="AU9" i="27"/>
  <c r="AU10" i="27"/>
  <c r="AU11" i="27"/>
  <c r="AU12" i="27"/>
  <c r="AU13" i="27"/>
  <c r="AU14" i="27"/>
  <c r="AU15" i="27"/>
  <c r="AU16" i="27"/>
  <c r="AU17" i="27"/>
  <c r="AU18" i="27"/>
  <c r="AU19" i="27"/>
  <c r="AU20" i="27"/>
  <c r="AU21" i="27"/>
  <c r="AU22" i="27"/>
  <c r="AU23" i="27"/>
  <c r="AU24" i="27"/>
  <c r="AU25" i="27"/>
  <c r="AU26" i="27"/>
  <c r="AU27" i="27"/>
  <c r="AU28" i="27"/>
  <c r="AU8" i="27"/>
  <c r="AS9" i="27"/>
  <c r="AS10" i="27"/>
  <c r="AS11" i="27"/>
  <c r="AS12" i="27"/>
  <c r="AS13" i="27"/>
  <c r="AS14" i="27"/>
  <c r="AS15" i="27"/>
  <c r="AS16" i="27"/>
  <c r="AS17" i="27"/>
  <c r="AS18" i="27"/>
  <c r="AS19" i="27"/>
  <c r="AS20" i="27"/>
  <c r="AS21" i="27"/>
  <c r="AS22" i="27"/>
  <c r="AS23" i="27"/>
  <c r="AS24" i="27"/>
  <c r="AS25" i="27"/>
  <c r="AS26" i="27"/>
  <c r="AS27" i="27"/>
  <c r="AS28" i="27"/>
  <c r="AR9" i="27" a="1"/>
  <c r="AR9" i="27" s="1"/>
  <c r="AR30" i="27" s="1"/>
  <c r="AQ9" i="27" a="1"/>
  <c r="AQ9" i="27" s="1"/>
  <c r="AQ30" i="27" s="1"/>
  <c r="AO9" i="27" a="1"/>
  <c r="AO9" i="27" s="1"/>
  <c r="AO30" i="27" s="1"/>
  <c r="AL10" i="27"/>
  <c r="AL11" i="27"/>
  <c r="AL12" i="27"/>
  <c r="AL13" i="27"/>
  <c r="AL14" i="27"/>
  <c r="AL15" i="27"/>
  <c r="AL16" i="27"/>
  <c r="AL17" i="27"/>
  <c r="AL18" i="27"/>
  <c r="AL19" i="27"/>
  <c r="AL20" i="27"/>
  <c r="AL21" i="27"/>
  <c r="AL22" i="27"/>
  <c r="AL23" i="27"/>
  <c r="AL24" i="27"/>
  <c r="AL25" i="27"/>
  <c r="AL26" i="27"/>
  <c r="AL27" i="27"/>
  <c r="AL28" i="27"/>
  <c r="AK10" i="27"/>
  <c r="AK11" i="27"/>
  <c r="AK12" i="27"/>
  <c r="AK13" i="27"/>
  <c r="AK14" i="27"/>
  <c r="AK15" i="27"/>
  <c r="AK16" i="27"/>
  <c r="AK17" i="27"/>
  <c r="AK18" i="27"/>
  <c r="AK19" i="27"/>
  <c r="AK20" i="27"/>
  <c r="AK21" i="27"/>
  <c r="AK22" i="27"/>
  <c r="AK23" i="27"/>
  <c r="AK24" i="27"/>
  <c r="AK25" i="27"/>
  <c r="AK26" i="27"/>
  <c r="AK27" i="27"/>
  <c r="AK28" i="27"/>
  <c r="AH9" i="27" a="1"/>
  <c r="AH9" i="27" s="1"/>
  <c r="AH30" i="27" s="1"/>
  <c r="AG10" i="27"/>
  <c r="AG11" i="27"/>
  <c r="AG12" i="27"/>
  <c r="AG13" i="27"/>
  <c r="AG14" i="27"/>
  <c r="AG15" i="27"/>
  <c r="AG16" i="27"/>
  <c r="AG17" i="27"/>
  <c r="AG30" i="27" s="1"/>
  <c r="AG18" i="27"/>
  <c r="AG19" i="27"/>
  <c r="AG20" i="27"/>
  <c r="AG21" i="27"/>
  <c r="AG22" i="27"/>
  <c r="AG23" i="27"/>
  <c r="AG24" i="27"/>
  <c r="AG25" i="27"/>
  <c r="AG26" i="27"/>
  <c r="AG27" i="27"/>
  <c r="AG28" i="27"/>
  <c r="W9" i="27" a="1"/>
  <c r="W9" i="27" s="1"/>
  <c r="I10" i="27"/>
  <c r="I11" i="27"/>
  <c r="I12" i="27"/>
  <c r="I13" i="27"/>
  <c r="I14" i="27"/>
  <c r="I15" i="27"/>
  <c r="I16" i="27"/>
  <c r="I17" i="27"/>
  <c r="I30" i="27" s="1"/>
  <c r="I18" i="27"/>
  <c r="I19" i="27"/>
  <c r="I20" i="27"/>
  <c r="I21" i="27"/>
  <c r="I22" i="27"/>
  <c r="I23" i="27"/>
  <c r="I24" i="27"/>
  <c r="I25" i="27"/>
  <c r="I26" i="27"/>
  <c r="I27" i="27"/>
  <c r="I28" i="27"/>
  <c r="I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F10" i="27"/>
  <c r="F11" i="27"/>
  <c r="F12" i="27"/>
  <c r="F13" i="27"/>
  <c r="F14" i="27"/>
  <c r="F15" i="27"/>
  <c r="F16" i="27"/>
  <c r="F17" i="27"/>
  <c r="F30" i="27" s="1"/>
  <c r="F18" i="27"/>
  <c r="F19" i="27"/>
  <c r="F20" i="27"/>
  <c r="F21" i="27"/>
  <c r="F22" i="27"/>
  <c r="F23" i="27"/>
  <c r="F24" i="27"/>
  <c r="F25" i="27"/>
  <c r="F26" i="27"/>
  <c r="F27" i="27"/>
  <c r="F28" i="27"/>
  <c r="F9" i="27"/>
  <c r="BE9" i="16"/>
  <c r="BE10" i="16"/>
  <c r="BE11" i="16"/>
  <c r="BE12" i="16"/>
  <c r="BE13" i="16"/>
  <c r="BE14" i="16"/>
  <c r="BE15" i="16"/>
  <c r="BE16" i="16"/>
  <c r="BE17" i="16"/>
  <c r="BE18" i="16"/>
  <c r="BE19" i="16"/>
  <c r="BE20" i="16"/>
  <c r="BE21" i="16"/>
  <c r="BE22" i="16"/>
  <c r="BE23" i="16"/>
  <c r="BE24" i="16"/>
  <c r="BE25" i="16"/>
  <c r="BE26" i="16"/>
  <c r="BE27" i="16"/>
  <c r="BE28" i="16"/>
  <c r="BD9" i="16"/>
  <c r="BD10" i="16"/>
  <c r="BD11" i="16"/>
  <c r="BD12" i="16"/>
  <c r="BD13" i="16"/>
  <c r="BD14" i="16"/>
  <c r="BD15" i="16"/>
  <c r="BD16" i="16"/>
  <c r="BD17" i="16"/>
  <c r="BD18" i="16"/>
  <c r="BD19" i="16"/>
  <c r="BD20" i="16"/>
  <c r="BD21" i="16"/>
  <c r="BD22" i="16"/>
  <c r="BD23" i="16"/>
  <c r="BD24" i="16"/>
  <c r="BD25" i="16"/>
  <c r="BD26" i="16"/>
  <c r="BD27" i="16"/>
  <c r="BD28" i="16"/>
  <c r="BC9" i="16"/>
  <c r="BC10" i="16"/>
  <c r="BC11" i="16"/>
  <c r="BC12" i="16"/>
  <c r="BC13" i="16"/>
  <c r="BC14" i="16"/>
  <c r="BC15" i="16"/>
  <c r="BC16" i="16"/>
  <c r="BC17" i="16"/>
  <c r="BC18" i="16"/>
  <c r="BC19" i="16"/>
  <c r="BC20" i="16"/>
  <c r="BC21" i="16"/>
  <c r="BC22" i="16"/>
  <c r="BC23" i="16"/>
  <c r="BC24" i="16"/>
  <c r="BC25" i="16"/>
  <c r="BC26" i="16"/>
  <c r="BC27" i="16"/>
  <c r="BC28" i="16"/>
  <c r="BB9" i="16"/>
  <c r="BB30" i="16" s="1"/>
  <c r="BB10" i="16"/>
  <c r="BB11" i="16"/>
  <c r="BB12" i="16"/>
  <c r="BB13" i="16"/>
  <c r="BB14" i="16"/>
  <c r="BB15" i="16"/>
  <c r="BB16" i="16"/>
  <c r="BB17" i="16"/>
  <c r="BB18" i="16"/>
  <c r="BB19" i="16"/>
  <c r="BB20" i="16"/>
  <c r="BB21" i="16"/>
  <c r="BB22" i="16"/>
  <c r="BB23" i="16"/>
  <c r="BB24" i="16"/>
  <c r="BB25" i="16"/>
  <c r="BB26" i="16"/>
  <c r="BB27" i="16"/>
  <c r="BB28" i="16"/>
  <c r="BA9" i="16"/>
  <c r="BA10" i="16"/>
  <c r="BA11" i="16"/>
  <c r="BA12" i="16"/>
  <c r="BA13" i="16"/>
  <c r="BA14" i="16"/>
  <c r="BA15" i="16"/>
  <c r="BA16" i="16"/>
  <c r="BA17" i="16"/>
  <c r="BA18" i="16"/>
  <c r="BA19" i="16"/>
  <c r="BA20" i="16"/>
  <c r="BA21" i="16"/>
  <c r="BA22" i="16"/>
  <c r="BA23" i="16"/>
  <c r="BA24" i="16"/>
  <c r="BA25" i="16"/>
  <c r="BA26" i="16"/>
  <c r="BA27" i="16"/>
  <c r="BA28" i="16"/>
  <c r="AZ9" i="16"/>
  <c r="AZ10" i="16"/>
  <c r="AZ11" i="16"/>
  <c r="AZ12" i="16"/>
  <c r="AZ13" i="16"/>
  <c r="AZ14" i="16"/>
  <c r="AZ15" i="16"/>
  <c r="AZ16" i="16"/>
  <c r="AZ17" i="16"/>
  <c r="AZ18" i="16"/>
  <c r="AZ19" i="16"/>
  <c r="AZ20" i="16"/>
  <c r="AZ21" i="16"/>
  <c r="AZ22" i="16"/>
  <c r="AZ23" i="16"/>
  <c r="AZ24" i="16"/>
  <c r="AZ25" i="16"/>
  <c r="AZ26" i="16"/>
  <c r="AZ27" i="16"/>
  <c r="AZ28" i="16"/>
  <c r="BE8" i="16"/>
  <c r="BD8" i="16"/>
  <c r="BC8" i="16"/>
  <c r="BB8" i="16"/>
  <c r="BA8" i="16"/>
  <c r="AZ8" i="16"/>
  <c r="AX9" i="16"/>
  <c r="AX10" i="16"/>
  <c r="AX11" i="16"/>
  <c r="AX12" i="16"/>
  <c r="AX13" i="16"/>
  <c r="AX14" i="16"/>
  <c r="AX15" i="16"/>
  <c r="AX16" i="16"/>
  <c r="AX17" i="16"/>
  <c r="AX18" i="16"/>
  <c r="AX19" i="16"/>
  <c r="AX20" i="16"/>
  <c r="AX21" i="16"/>
  <c r="AX22" i="16"/>
  <c r="AX23" i="16"/>
  <c r="AX24" i="16"/>
  <c r="AX25" i="16"/>
  <c r="AX26" i="16"/>
  <c r="AX27" i="16"/>
  <c r="AX28" i="16"/>
  <c r="AW10" i="16"/>
  <c r="AW11" i="16"/>
  <c r="AW12" i="16" s="1"/>
  <c r="AW13" i="16" s="1"/>
  <c r="AW14" i="16" s="1"/>
  <c r="AW15" i="16" s="1"/>
  <c r="AW16" i="16" s="1"/>
  <c r="AW17" i="16" s="1"/>
  <c r="AW18" i="16" s="1"/>
  <c r="AW19" i="16" s="1"/>
  <c r="AW20" i="16" s="1"/>
  <c r="AW21" i="16" s="1"/>
  <c r="AW22" i="16" s="1"/>
  <c r="AW23" i="16" s="1"/>
  <c r="AW24" i="16" s="1"/>
  <c r="AW25" i="16" s="1"/>
  <c r="AW26" i="16" s="1"/>
  <c r="AW27" i="16" s="1"/>
  <c r="AW28" i="16" s="1"/>
  <c r="AU9" i="16"/>
  <c r="AU10" i="16"/>
  <c r="AU11" i="16"/>
  <c r="AU12" i="16"/>
  <c r="AU13" i="16"/>
  <c r="AU14" i="16"/>
  <c r="AU15" i="16"/>
  <c r="AU16" i="16"/>
  <c r="AU17" i="16"/>
  <c r="AU18" i="16"/>
  <c r="AU19" i="16"/>
  <c r="AU20" i="16"/>
  <c r="AU21" i="16"/>
  <c r="AU22" i="16"/>
  <c r="AU23" i="16"/>
  <c r="AU24" i="16"/>
  <c r="AU25" i="16"/>
  <c r="AU26" i="16"/>
  <c r="AU27" i="16"/>
  <c r="AU28" i="16"/>
  <c r="AU8" i="16"/>
  <c r="AS9" i="16"/>
  <c r="AS10" i="16"/>
  <c r="AS11" i="16"/>
  <c r="AS12" i="16"/>
  <c r="AS13" i="16"/>
  <c r="AS14" i="16"/>
  <c r="AS15" i="16"/>
  <c r="AS16" i="16"/>
  <c r="AS17" i="16"/>
  <c r="AS18" i="16"/>
  <c r="AS19" i="16"/>
  <c r="AS20" i="16"/>
  <c r="AS21" i="16"/>
  <c r="AS22" i="16"/>
  <c r="AS23" i="16"/>
  <c r="AS24" i="16"/>
  <c r="AS25" i="16"/>
  <c r="AS26" i="16"/>
  <c r="AS27" i="16"/>
  <c r="AS28" i="16"/>
  <c r="AR9" i="16" a="1"/>
  <c r="AR9" i="16" s="1"/>
  <c r="AR30" i="16" s="1"/>
  <c r="AQ9" i="16" a="1"/>
  <c r="AQ9" i="16" s="1"/>
  <c r="AQ30" i="16" s="1"/>
  <c r="AO9" i="16" a="1"/>
  <c r="AO9" i="16" s="1"/>
  <c r="AO30" i="16" s="1"/>
  <c r="AL10" i="16"/>
  <c r="AL11" i="16"/>
  <c r="AL12" i="16"/>
  <c r="AL13" i="16"/>
  <c r="AL14" i="16"/>
  <c r="AL15" i="16"/>
  <c r="AL16" i="16"/>
  <c r="AL17" i="16"/>
  <c r="AL18" i="16"/>
  <c r="AL19" i="16"/>
  <c r="AL20" i="16"/>
  <c r="AL21" i="16"/>
  <c r="AL22" i="16"/>
  <c r="AL23" i="16"/>
  <c r="AL24" i="16"/>
  <c r="AL25" i="16"/>
  <c r="AL26" i="16"/>
  <c r="AL27" i="16"/>
  <c r="AL28" i="16"/>
  <c r="AK10" i="16"/>
  <c r="AK11" i="16"/>
  <c r="AK12" i="16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H9" i="16" a="1"/>
  <c r="AH9" i="16" s="1"/>
  <c r="AH30" i="16" s="1"/>
  <c r="AG10" i="16"/>
  <c r="AG11" i="16"/>
  <c r="AG12" i="16"/>
  <c r="AG13" i="16"/>
  <c r="AG14" i="16"/>
  <c r="AG15" i="16"/>
  <c r="AG16" i="16"/>
  <c r="AG17" i="16"/>
  <c r="AG30" i="16" s="1"/>
  <c r="AG18" i="16"/>
  <c r="AG19" i="16"/>
  <c r="AG20" i="16"/>
  <c r="AG21" i="16"/>
  <c r="AG22" i="16"/>
  <c r="AG23" i="16"/>
  <c r="AG24" i="16"/>
  <c r="AG25" i="16"/>
  <c r="AG26" i="16"/>
  <c r="AG27" i="16"/>
  <c r="AG28" i="16"/>
  <c r="AG9" i="27"/>
  <c r="AG9" i="16"/>
  <c r="AG9" i="13"/>
  <c r="W9" i="16" a="1"/>
  <c r="W9" i="16" s="1"/>
  <c r="K8" i="26"/>
  <c r="AG10" i="26" s="1"/>
  <c r="K8" i="27"/>
  <c r="K8" i="16"/>
  <c r="K8" i="13"/>
  <c r="I10" i="16"/>
  <c r="I11" i="16"/>
  <c r="I12" i="16"/>
  <c r="I13" i="16"/>
  <c r="I14" i="16"/>
  <c r="I15" i="16"/>
  <c r="I16" i="16"/>
  <c r="I17" i="16"/>
  <c r="I30" i="16" s="1"/>
  <c r="I18" i="16"/>
  <c r="I19" i="16"/>
  <c r="I20" i="16"/>
  <c r="I21" i="16"/>
  <c r="I22" i="16"/>
  <c r="I23" i="16"/>
  <c r="I24" i="16"/>
  <c r="I25" i="16"/>
  <c r="I26" i="16"/>
  <c r="I27" i="16"/>
  <c r="I28" i="16"/>
  <c r="I9" i="16"/>
  <c r="G10" i="16"/>
  <c r="G11" i="16"/>
  <c r="G12" i="16"/>
  <c r="G13" i="16"/>
  <c r="G14" i="16"/>
  <c r="G15" i="16"/>
  <c r="G16" i="16"/>
  <c r="G17" i="16"/>
  <c r="G30" i="16" s="1"/>
  <c r="G18" i="16"/>
  <c r="G19" i="16"/>
  <c r="G20" i="16"/>
  <c r="G21" i="16"/>
  <c r="G22" i="16"/>
  <c r="G23" i="16"/>
  <c r="G24" i="16"/>
  <c r="G25" i="16"/>
  <c r="G26" i="16"/>
  <c r="G27" i="16"/>
  <c r="G28" i="16"/>
  <c r="F10" i="16"/>
  <c r="F11" i="16"/>
  <c r="F12" i="16"/>
  <c r="F13" i="16"/>
  <c r="F14" i="16"/>
  <c r="F15" i="16"/>
  <c r="F16" i="16"/>
  <c r="F17" i="16"/>
  <c r="F30" i="16" s="1"/>
  <c r="F18" i="16"/>
  <c r="F19" i="16"/>
  <c r="F20" i="16"/>
  <c r="F21" i="16"/>
  <c r="F22" i="16"/>
  <c r="F23" i="16"/>
  <c r="F24" i="16"/>
  <c r="F25" i="16"/>
  <c r="F26" i="16"/>
  <c r="F27" i="16"/>
  <c r="F28" i="16"/>
  <c r="G9" i="27"/>
  <c r="G9" i="16"/>
  <c r="G9" i="13"/>
  <c r="F9" i="16"/>
  <c r="F9" i="13"/>
  <c r="BC8" i="13"/>
  <c r="BA8" i="13"/>
  <c r="AW9" i="15"/>
  <c r="AW9" i="25"/>
  <c r="AL9" i="25"/>
  <c r="AK9" i="25"/>
  <c r="AG10" i="13"/>
  <c r="AG12" i="13"/>
  <c r="AG13" i="13"/>
  <c r="AG14" i="13"/>
  <c r="AG15" i="13"/>
  <c r="AG18" i="13"/>
  <c r="AG19" i="13"/>
  <c r="AG20" i="13"/>
  <c r="AG21" i="13"/>
  <c r="AG22" i="13"/>
  <c r="AG23" i="13"/>
  <c r="AG24" i="13"/>
  <c r="AG25" i="13"/>
  <c r="AG26" i="13"/>
  <c r="AG27" i="13"/>
  <c r="AG28" i="13"/>
  <c r="AG9" i="25"/>
  <c r="AG16" i="13"/>
  <c r="K8" i="25"/>
  <c r="F9" i="25"/>
  <c r="I9" i="25" s="1"/>
  <c r="W9" i="25" s="1" a="1"/>
  <c r="AR9" i="24" a="1"/>
  <c r="AR9" i="24" s="1"/>
  <c r="BE14" i="24"/>
  <c r="BE15" i="24"/>
  <c r="BE22" i="24"/>
  <c r="BE23" i="24"/>
  <c r="BD11" i="24"/>
  <c r="BD16" i="24"/>
  <c r="BD18" i="24"/>
  <c r="BD19" i="24"/>
  <c r="BD24" i="24"/>
  <c r="BD26" i="24"/>
  <c r="BD27" i="24"/>
  <c r="BC14" i="24"/>
  <c r="BC15" i="24"/>
  <c r="BC22" i="24"/>
  <c r="BC23" i="24"/>
  <c r="BB10" i="24"/>
  <c r="BB11" i="24"/>
  <c r="BB16" i="24"/>
  <c r="BB18" i="24"/>
  <c r="BB19" i="24"/>
  <c r="BB24" i="24"/>
  <c r="BB26" i="24"/>
  <c r="BB27" i="24"/>
  <c r="BA14" i="24"/>
  <c r="BA15" i="24"/>
  <c r="BA22" i="24"/>
  <c r="BA23" i="24"/>
  <c r="AZ10" i="24"/>
  <c r="AZ11" i="24"/>
  <c r="AZ16" i="24"/>
  <c r="AZ18" i="24"/>
  <c r="AZ19" i="24"/>
  <c r="AZ24" i="24"/>
  <c r="AZ26" i="24"/>
  <c r="AZ27" i="24"/>
  <c r="BE8" i="24"/>
  <c r="BD8" i="24"/>
  <c r="BC8" i="24"/>
  <c r="BB8" i="24"/>
  <c r="BA8" i="24"/>
  <c r="AZ8" i="24"/>
  <c r="AW9" i="11"/>
  <c r="AU8" i="24"/>
  <c r="AU14" i="24"/>
  <c r="AU16" i="24"/>
  <c r="AU17" i="24"/>
  <c r="AU22" i="24"/>
  <c r="AU24" i="24"/>
  <c r="AU25" i="24"/>
  <c r="AS10" i="24"/>
  <c r="AU10" i="24" s="1"/>
  <c r="AS11" i="24"/>
  <c r="AU11" i="24" s="1"/>
  <c r="AS12" i="24"/>
  <c r="BD12" i="24" s="1"/>
  <c r="AS13" i="24"/>
  <c r="BD13" i="24" s="1"/>
  <c r="AS14" i="24"/>
  <c r="BD14" i="24" s="1"/>
  <c r="AS15" i="24"/>
  <c r="BD15" i="24" s="1"/>
  <c r="AS16" i="24"/>
  <c r="BE16" i="24" s="1"/>
  <c r="AS17" i="24"/>
  <c r="BE17" i="24" s="1"/>
  <c r="AS18" i="24"/>
  <c r="AU18" i="24" s="1"/>
  <c r="AS19" i="24"/>
  <c r="AU19" i="24" s="1"/>
  <c r="AS20" i="24"/>
  <c r="BA20" i="24" s="1"/>
  <c r="AS21" i="24"/>
  <c r="BD21" i="24" s="1"/>
  <c r="AS22" i="24"/>
  <c r="BD22" i="24" s="1"/>
  <c r="AS23" i="24"/>
  <c r="BD23" i="24" s="1"/>
  <c r="AS24" i="24"/>
  <c r="BE24" i="24" s="1"/>
  <c r="AS25" i="24"/>
  <c r="BE25" i="24" s="1"/>
  <c r="AS26" i="24"/>
  <c r="AU26" i="24" s="1"/>
  <c r="AS27" i="24"/>
  <c r="AU27" i="24" s="1"/>
  <c r="AS28" i="24"/>
  <c r="BD28" i="24" s="1"/>
  <c r="AQ9" i="24" a="1"/>
  <c r="AQ9" i="24" s="1"/>
  <c r="AQ30" i="24" s="1"/>
  <c r="AO9" i="24" a="1"/>
  <c r="AO9" i="24" s="1"/>
  <c r="AO30" i="24" s="1"/>
  <c r="AL10" i="24"/>
  <c r="AL11" i="24"/>
  <c r="AL12" i="24"/>
  <c r="AL13" i="24"/>
  <c r="AL14" i="24"/>
  <c r="AL15" i="24"/>
  <c r="AL16" i="24"/>
  <c r="AL17" i="24"/>
  <c r="AL18" i="24"/>
  <c r="AL19" i="24"/>
  <c r="AL20" i="24"/>
  <c r="AL21" i="24"/>
  <c r="AL22" i="24"/>
  <c r="AL23" i="24"/>
  <c r="AL24" i="24"/>
  <c r="AL25" i="24"/>
  <c r="AL26" i="24"/>
  <c r="AL27" i="24"/>
  <c r="AL28" i="24"/>
  <c r="AL9" i="24"/>
  <c r="AL9" i="11"/>
  <c r="AK9" i="24"/>
  <c r="AK10" i="24"/>
  <c r="AK11" i="24"/>
  <c r="AK12" i="24"/>
  <c r="AK13" i="24"/>
  <c r="AK14" i="24"/>
  <c r="AK15" i="24"/>
  <c r="AK16" i="24"/>
  <c r="AK17" i="24"/>
  <c r="AK30" i="24" s="1"/>
  <c r="AK18" i="24"/>
  <c r="AK19" i="24"/>
  <c r="AK20" i="24"/>
  <c r="AK21" i="24"/>
  <c r="AK22" i="24"/>
  <c r="AK23" i="24"/>
  <c r="AK24" i="24"/>
  <c r="AK25" i="24"/>
  <c r="AK26" i="24"/>
  <c r="AK27" i="24"/>
  <c r="AK28" i="24"/>
  <c r="AK9" i="11"/>
  <c r="AH9" i="24" a="1"/>
  <c r="AH9" i="24" s="1"/>
  <c r="AH30" i="24" s="1"/>
  <c r="AG10" i="24"/>
  <c r="AG11" i="24"/>
  <c r="AG12" i="24"/>
  <c r="AG13" i="24"/>
  <c r="AG14" i="24"/>
  <c r="AG15" i="24"/>
  <c r="AG16" i="24"/>
  <c r="AG17" i="24"/>
  <c r="AG30" i="24" s="1"/>
  <c r="AG18" i="24"/>
  <c r="AG19" i="24"/>
  <c r="AG20" i="24"/>
  <c r="AG21" i="24"/>
  <c r="AG22" i="24"/>
  <c r="AG23" i="24"/>
  <c r="AG24" i="24"/>
  <c r="AG25" i="24"/>
  <c r="AG26" i="24"/>
  <c r="AG27" i="24"/>
  <c r="AG28" i="24"/>
  <c r="AG9" i="24"/>
  <c r="AG9" i="11"/>
  <c r="W9" i="24" a="1"/>
  <c r="W9" i="24" s="1"/>
  <c r="W30" i="24" s="1"/>
  <c r="K8" i="24"/>
  <c r="AG17" i="25"/>
  <c r="I10" i="24"/>
  <c r="I11" i="24"/>
  <c r="I12" i="24"/>
  <c r="I13" i="24"/>
  <c r="I14" i="24"/>
  <c r="I15" i="24"/>
  <c r="I16" i="24"/>
  <c r="I17" i="24"/>
  <c r="I30" i="24" s="1"/>
  <c r="I18" i="24"/>
  <c r="I19" i="24"/>
  <c r="I20" i="24"/>
  <c r="I21" i="24"/>
  <c r="I22" i="24"/>
  <c r="I23" i="24"/>
  <c r="I24" i="24"/>
  <c r="I25" i="24"/>
  <c r="I26" i="24"/>
  <c r="I27" i="24"/>
  <c r="I28" i="24"/>
  <c r="I9" i="24"/>
  <c r="G10" i="24"/>
  <c r="G11" i="24"/>
  <c r="G12" i="24"/>
  <c r="G13" i="24"/>
  <c r="G14" i="24"/>
  <c r="G15" i="24"/>
  <c r="G16" i="24"/>
  <c r="G17" i="24"/>
  <c r="G30" i="24" s="1"/>
  <c r="G18" i="24"/>
  <c r="G19" i="24"/>
  <c r="G20" i="24"/>
  <c r="G21" i="24"/>
  <c r="G22" i="24"/>
  <c r="G23" i="24"/>
  <c r="G24" i="24"/>
  <c r="G25" i="24"/>
  <c r="G26" i="24"/>
  <c r="G27" i="24"/>
  <c r="G28" i="24"/>
  <c r="F10" i="24"/>
  <c r="F11" i="24"/>
  <c r="F12" i="24"/>
  <c r="F13" i="24"/>
  <c r="F14" i="24"/>
  <c r="F15" i="24"/>
  <c r="F16" i="24"/>
  <c r="F17" i="24"/>
  <c r="F30" i="24" s="1"/>
  <c r="F18" i="24"/>
  <c r="F19" i="24"/>
  <c r="F20" i="24"/>
  <c r="F21" i="24"/>
  <c r="F22" i="24"/>
  <c r="F23" i="24"/>
  <c r="F24" i="24"/>
  <c r="F25" i="24"/>
  <c r="F26" i="24"/>
  <c r="F27" i="24"/>
  <c r="F28" i="24"/>
  <c r="G9" i="24"/>
  <c r="F9" i="24"/>
  <c r="AW9" i="14"/>
  <c r="AQ9" i="25" a="1"/>
  <c r="AQ9" i="25" s="1"/>
  <c r="AQ30" i="25" s="1"/>
  <c r="AL9" i="14"/>
  <c r="AK9" i="14"/>
  <c r="AH9" i="25" a="1"/>
  <c r="AH9" i="25" s="1"/>
  <c r="AH30" i="25" s="1"/>
  <c r="AG10" i="25"/>
  <c r="AG11" i="25"/>
  <c r="AG12" i="25"/>
  <c r="AG13" i="25"/>
  <c r="AG14" i="25"/>
  <c r="AG15" i="25"/>
  <c r="AG16" i="25"/>
  <c r="AG18" i="25"/>
  <c r="AG19" i="25"/>
  <c r="AG20" i="25"/>
  <c r="AG21" i="25"/>
  <c r="AG22" i="25"/>
  <c r="AG23" i="25"/>
  <c r="AG24" i="25"/>
  <c r="AG25" i="25"/>
  <c r="AG26" i="25"/>
  <c r="AG27" i="25"/>
  <c r="AG28" i="25"/>
  <c r="K8" i="14"/>
  <c r="AG16" i="14" s="1"/>
  <c r="AG9" i="14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G10" i="25"/>
  <c r="G11" i="25"/>
  <c r="G12" i="25"/>
  <c r="G13" i="25"/>
  <c r="G14" i="25"/>
  <c r="G15" i="25"/>
  <c r="G16" i="25"/>
  <c r="G17" i="25"/>
  <c r="G30" i="25" s="1"/>
  <c r="G18" i="25"/>
  <c r="G19" i="25"/>
  <c r="G20" i="25"/>
  <c r="G21" i="25"/>
  <c r="G22" i="25"/>
  <c r="G23" i="25"/>
  <c r="G24" i="25"/>
  <c r="G25" i="25"/>
  <c r="G26" i="25"/>
  <c r="G27" i="25"/>
  <c r="G28" i="25"/>
  <c r="G9" i="25"/>
  <c r="F10" i="25"/>
  <c r="F11" i="25"/>
  <c r="F12" i="25"/>
  <c r="F13" i="25"/>
  <c r="F14" i="25"/>
  <c r="F15" i="25"/>
  <c r="F16" i="25"/>
  <c r="F17" i="25"/>
  <c r="F30" i="25" s="1"/>
  <c r="F18" i="25"/>
  <c r="F19" i="25"/>
  <c r="F20" i="25"/>
  <c r="F21" i="25"/>
  <c r="F22" i="25"/>
  <c r="F23" i="25"/>
  <c r="F24" i="25"/>
  <c r="F25" i="25"/>
  <c r="F26" i="25"/>
  <c r="F27" i="25"/>
  <c r="F28" i="25"/>
  <c r="F9" i="14"/>
  <c r="AZ8" i="14"/>
  <c r="AQ9" i="14" a="1"/>
  <c r="AQ9" i="14" s="1"/>
  <c r="AQ30" i="14" s="1"/>
  <c r="AH9" i="14" a="1"/>
  <c r="AH9" i="14" s="1"/>
  <c r="AH30" i="14" s="1"/>
  <c r="AG10" i="14"/>
  <c r="AG12" i="14"/>
  <c r="AG13" i="14"/>
  <c r="AG14" i="14"/>
  <c r="AG15" i="14"/>
  <c r="AG18" i="14"/>
  <c r="AG19" i="14"/>
  <c r="AG20" i="14"/>
  <c r="AG21" i="14"/>
  <c r="AG22" i="14"/>
  <c r="AG23" i="14"/>
  <c r="AG24" i="14"/>
  <c r="AG25" i="14"/>
  <c r="AG26" i="14"/>
  <c r="AG27" i="14"/>
  <c r="AG28" i="14"/>
  <c r="K8" i="11"/>
  <c r="AG10" i="11" s="1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9" i="14"/>
  <c r="W9" i="14" s="1" a="1"/>
  <c r="G9" i="14"/>
  <c r="G10" i="14"/>
  <c r="G11" i="14"/>
  <c r="G12" i="14"/>
  <c r="G13" i="14"/>
  <c r="G14" i="14"/>
  <c r="G15" i="14"/>
  <c r="G16" i="14"/>
  <c r="G17" i="14"/>
  <c r="G30" i="14" s="1"/>
  <c r="G18" i="14"/>
  <c r="G19" i="14"/>
  <c r="G20" i="14"/>
  <c r="G21" i="14"/>
  <c r="G22" i="14"/>
  <c r="G23" i="14"/>
  <c r="G24" i="14"/>
  <c r="G25" i="14"/>
  <c r="G26" i="14"/>
  <c r="G27" i="14"/>
  <c r="G28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9" i="11"/>
  <c r="BE8" i="11"/>
  <c r="BB8" i="11"/>
  <c r="AW9" i="22"/>
  <c r="AQ9" i="11" a="1"/>
  <c r="AQ9" i="11" s="1"/>
  <c r="AQ30" i="11" s="1"/>
  <c r="AL9" i="22"/>
  <c r="AK9" i="22"/>
  <c r="AH9" i="11" a="1"/>
  <c r="AH9" i="11" s="1"/>
  <c r="AH30" i="11" s="1"/>
  <c r="AG15" i="11"/>
  <c r="AG16" i="11"/>
  <c r="AG17" i="11"/>
  <c r="AG19" i="11"/>
  <c r="AG20" i="11"/>
  <c r="AG21" i="11"/>
  <c r="AG22" i="11"/>
  <c r="AG23" i="11"/>
  <c r="AG24" i="11"/>
  <c r="AG25" i="11"/>
  <c r="AG26" i="11"/>
  <c r="AG27" i="11"/>
  <c r="AG28" i="11"/>
  <c r="AG9" i="22"/>
  <c r="K8" i="22"/>
  <c r="AG13" i="22" s="1"/>
  <c r="AK13" i="22" s="1"/>
  <c r="AL13" i="22" s="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9" i="11"/>
  <c r="W9" i="11" s="1" a="1"/>
  <c r="G10" i="11"/>
  <c r="G11" i="11"/>
  <c r="G12" i="11"/>
  <c r="G13" i="11"/>
  <c r="G14" i="11"/>
  <c r="G15" i="11"/>
  <c r="G16" i="11"/>
  <c r="G17" i="11"/>
  <c r="G30" i="11" s="1"/>
  <c r="G18" i="11"/>
  <c r="G19" i="11"/>
  <c r="G20" i="11"/>
  <c r="G21" i="11"/>
  <c r="G22" i="11"/>
  <c r="G23" i="11"/>
  <c r="G24" i="11"/>
  <c r="G25" i="11"/>
  <c r="G26" i="11"/>
  <c r="G27" i="11"/>
  <c r="G28" i="11"/>
  <c r="G9" i="11"/>
  <c r="G9" i="22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9" i="22"/>
  <c r="BE8" i="22"/>
  <c r="AW9" i="23"/>
  <c r="AQ9" i="22" a="1"/>
  <c r="AQ9" i="22" s="1"/>
  <c r="AQ30" i="22" s="1"/>
  <c r="AL9" i="23"/>
  <c r="AK15" i="22"/>
  <c r="AL15" i="22" s="1"/>
  <c r="AK21" i="22"/>
  <c r="AL21" i="22" s="1"/>
  <c r="AK22" i="22"/>
  <c r="AL22" i="22" s="1"/>
  <c r="AK23" i="22"/>
  <c r="AL23" i="22" s="1"/>
  <c r="AK24" i="22"/>
  <c r="AL24" i="22" s="1"/>
  <c r="AK9" i="23"/>
  <c r="AG10" i="22"/>
  <c r="AK10" i="22" s="1"/>
  <c r="AL10" i="22" s="1"/>
  <c r="AG11" i="22"/>
  <c r="AK11" i="22" s="1"/>
  <c r="AL11" i="22" s="1"/>
  <c r="AG12" i="22"/>
  <c r="AK12" i="22" s="1"/>
  <c r="AL12" i="22" s="1"/>
  <c r="AG15" i="22"/>
  <c r="AG17" i="22"/>
  <c r="AK17" i="22" s="1"/>
  <c r="AL17" i="22" s="1"/>
  <c r="AG18" i="22"/>
  <c r="AK18" i="22" s="1"/>
  <c r="AL18" i="22" s="1"/>
  <c r="AG19" i="22"/>
  <c r="AK19" i="22" s="1"/>
  <c r="AL19" i="22" s="1"/>
  <c r="AG20" i="22"/>
  <c r="AK20" i="22" s="1"/>
  <c r="AL20" i="22" s="1"/>
  <c r="AG21" i="22"/>
  <c r="AG22" i="22"/>
  <c r="AG23" i="22"/>
  <c r="AG24" i="22"/>
  <c r="AG25" i="22"/>
  <c r="AK25" i="22" s="1"/>
  <c r="AL25" i="22" s="1"/>
  <c r="AG26" i="22"/>
  <c r="AK26" i="22" s="1"/>
  <c r="AL26" i="22" s="1"/>
  <c r="AG27" i="22"/>
  <c r="AK27" i="22" s="1"/>
  <c r="AL27" i="22" s="1"/>
  <c r="AG28" i="22"/>
  <c r="AK28" i="22" s="1"/>
  <c r="AL28" i="22" s="1"/>
  <c r="AG9" i="23"/>
  <c r="AH9" i="22" a="1"/>
  <c r="AH9" i="22" s="1"/>
  <c r="AH30" i="22" s="1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K8" i="23"/>
  <c r="AG13" i="23" s="1"/>
  <c r="AK13" i="23" s="1"/>
  <c r="AL13" i="23" s="1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9" i="22"/>
  <c r="W9" i="22" s="1"/>
  <c r="AO9" i="22" s="1" a="1"/>
  <c r="G10" i="22"/>
  <c r="G11" i="22"/>
  <c r="G12" i="22"/>
  <c r="G13" i="22"/>
  <c r="G14" i="22"/>
  <c r="G15" i="22"/>
  <c r="G16" i="22"/>
  <c r="G17" i="22"/>
  <c r="G30" i="22" s="1"/>
  <c r="G18" i="22"/>
  <c r="G19" i="22"/>
  <c r="G20" i="22"/>
  <c r="G21" i="22"/>
  <c r="G22" i="22"/>
  <c r="G23" i="22"/>
  <c r="G24" i="22"/>
  <c r="G25" i="22"/>
  <c r="G26" i="22"/>
  <c r="G27" i="22"/>
  <c r="G28" i="22"/>
  <c r="F10" i="22"/>
  <c r="F11" i="22"/>
  <c r="F12" i="22"/>
  <c r="F13" i="22"/>
  <c r="F14" i="22"/>
  <c r="F15" i="22"/>
  <c r="F16" i="22"/>
  <c r="F17" i="22"/>
  <c r="F30" i="22" s="1"/>
  <c r="F18" i="22"/>
  <c r="F19" i="22"/>
  <c r="F20" i="22"/>
  <c r="F21" i="22"/>
  <c r="F22" i="22"/>
  <c r="F23" i="22"/>
  <c r="F24" i="22"/>
  <c r="F25" i="22"/>
  <c r="F26" i="22"/>
  <c r="F27" i="22"/>
  <c r="F28" i="22"/>
  <c r="F9" i="23"/>
  <c r="BD8" i="23"/>
  <c r="AW9" i="12"/>
  <c r="AQ9" i="23" a="1"/>
  <c r="AQ9" i="23" s="1"/>
  <c r="AQ30" i="23" s="1"/>
  <c r="AL9" i="12"/>
  <c r="AK22" i="23"/>
  <c r="AL22" i="23" s="1"/>
  <c r="AK23" i="23"/>
  <c r="AL23" i="23" s="1"/>
  <c r="AK24" i="23"/>
  <c r="AL24" i="23" s="1"/>
  <c r="AK9" i="12"/>
  <c r="AH9" i="23" a="1"/>
  <c r="AH9" i="23" s="1"/>
  <c r="AH30" i="23" s="1"/>
  <c r="AG10" i="23"/>
  <c r="AK10" i="23" s="1"/>
  <c r="AL10" i="23" s="1"/>
  <c r="AG11" i="23"/>
  <c r="AK11" i="23" s="1"/>
  <c r="AL11" i="23" s="1"/>
  <c r="AG12" i="23"/>
  <c r="AK12" i="23" s="1"/>
  <c r="AL12" i="23" s="1"/>
  <c r="AG17" i="23"/>
  <c r="AG18" i="23"/>
  <c r="AK18" i="23" s="1"/>
  <c r="AL18" i="23" s="1"/>
  <c r="AG19" i="23"/>
  <c r="AK19" i="23" s="1"/>
  <c r="AL19" i="23" s="1"/>
  <c r="AG20" i="23"/>
  <c r="AK20" i="23" s="1"/>
  <c r="AL20" i="23" s="1"/>
  <c r="AG21" i="23"/>
  <c r="AK21" i="23" s="1"/>
  <c r="AL21" i="23" s="1"/>
  <c r="AG22" i="23"/>
  <c r="AG23" i="23"/>
  <c r="AG24" i="23"/>
  <c r="AG25" i="23"/>
  <c r="AK25" i="23" s="1"/>
  <c r="AL25" i="23" s="1"/>
  <c r="AG26" i="23"/>
  <c r="AK26" i="23" s="1"/>
  <c r="AL26" i="23" s="1"/>
  <c r="AG27" i="23"/>
  <c r="AK27" i="23" s="1"/>
  <c r="AL27" i="23" s="1"/>
  <c r="AG28" i="23"/>
  <c r="AK28" i="23" s="1"/>
  <c r="AL28" i="23" s="1"/>
  <c r="AG9" i="12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9" i="23"/>
  <c r="AO9" i="23" s="1" a="1"/>
  <c r="K8" i="12"/>
  <c r="AG10" i="12" s="1"/>
  <c r="I10" i="23"/>
  <c r="I11" i="23"/>
  <c r="I12" i="23"/>
  <c r="I13" i="23"/>
  <c r="I14" i="23"/>
  <c r="I15" i="23"/>
  <c r="I16" i="23"/>
  <c r="I17" i="23"/>
  <c r="I30" i="23" s="1"/>
  <c r="I18" i="23"/>
  <c r="I19" i="23"/>
  <c r="I20" i="23"/>
  <c r="I21" i="23"/>
  <c r="I22" i="23"/>
  <c r="I23" i="23"/>
  <c r="I24" i="23"/>
  <c r="I25" i="23"/>
  <c r="I26" i="23"/>
  <c r="I27" i="23"/>
  <c r="I28" i="23"/>
  <c r="I9" i="23"/>
  <c r="G10" i="23"/>
  <c r="G11" i="23"/>
  <c r="G12" i="23"/>
  <c r="G13" i="23"/>
  <c r="G14" i="23"/>
  <c r="G15" i="23"/>
  <c r="G16" i="23"/>
  <c r="G17" i="23"/>
  <c r="G30" i="23" s="1"/>
  <c r="G18" i="23"/>
  <c r="G19" i="23"/>
  <c r="G20" i="23"/>
  <c r="G21" i="23"/>
  <c r="G22" i="23"/>
  <c r="G23" i="23"/>
  <c r="G24" i="23"/>
  <c r="G25" i="23"/>
  <c r="G26" i="23"/>
  <c r="G27" i="23"/>
  <c r="G28" i="23"/>
  <c r="G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J46" i="1"/>
  <c r="F9" i="12"/>
  <c r="M9" i="23" a="1"/>
  <c r="M9" i="23" s="1"/>
  <c r="M30" i="23" s="1"/>
  <c r="M8" i="23" a="1"/>
  <c r="M8" i="23" s="1"/>
  <c r="BA8" i="12"/>
  <c r="AW9" i="20"/>
  <c r="AQ9" i="12" a="1"/>
  <c r="AQ9" i="12" s="1"/>
  <c r="AQ30" i="12" s="1"/>
  <c r="AL9" i="20"/>
  <c r="AK9" i="20"/>
  <c r="AH9" i="12" a="1"/>
  <c r="AH9" i="12" s="1"/>
  <c r="AH30" i="12" s="1"/>
  <c r="AG13" i="12"/>
  <c r="AG14" i="12"/>
  <c r="AK14" i="12" s="1"/>
  <c r="AL14" i="12" s="1"/>
  <c r="AG16" i="12"/>
  <c r="AG17" i="12"/>
  <c r="AG19" i="12"/>
  <c r="AG20" i="12"/>
  <c r="AG21" i="12"/>
  <c r="AG22" i="12"/>
  <c r="AK22" i="12" s="1"/>
  <c r="AL22" i="12" s="1"/>
  <c r="AG23" i="12"/>
  <c r="AK23" i="12" s="1"/>
  <c r="AL23" i="12" s="1"/>
  <c r="AG24" i="12"/>
  <c r="AG25" i="12"/>
  <c r="AG26" i="12"/>
  <c r="AG27" i="12"/>
  <c r="AG28" i="12"/>
  <c r="AG9" i="20"/>
  <c r="W9" i="12" a="1"/>
  <c r="W9" i="12" s="1"/>
  <c r="K8" i="20"/>
  <c r="AG17" i="20" s="1"/>
  <c r="I10" i="12"/>
  <c r="I11" i="12"/>
  <c r="I12" i="12"/>
  <c r="I13" i="12"/>
  <c r="I14" i="12"/>
  <c r="I15" i="12"/>
  <c r="I16" i="12"/>
  <c r="I17" i="12"/>
  <c r="I30" i="12" s="1"/>
  <c r="I18" i="12"/>
  <c r="I19" i="12"/>
  <c r="I20" i="12"/>
  <c r="I21" i="12"/>
  <c r="I22" i="12"/>
  <c r="I23" i="12"/>
  <c r="I24" i="12"/>
  <c r="I25" i="12"/>
  <c r="I26" i="12"/>
  <c r="I27" i="12"/>
  <c r="I28" i="12"/>
  <c r="I9" i="12"/>
  <c r="AO9" i="12" s="1" a="1"/>
  <c r="G10" i="12"/>
  <c r="G11" i="12"/>
  <c r="G12" i="12"/>
  <c r="G13" i="12"/>
  <c r="G14" i="12"/>
  <c r="G15" i="12"/>
  <c r="G16" i="12"/>
  <c r="G30" i="12" s="1"/>
  <c r="G17" i="12"/>
  <c r="G18" i="12"/>
  <c r="G19" i="12"/>
  <c r="G20" i="12"/>
  <c r="G21" i="12"/>
  <c r="G22" i="12"/>
  <c r="G23" i="12"/>
  <c r="G24" i="12"/>
  <c r="G25" i="12"/>
  <c r="G26" i="12"/>
  <c r="G27" i="12"/>
  <c r="G28" i="12"/>
  <c r="G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9" i="20"/>
  <c r="BE8" i="20"/>
  <c r="BD8" i="20"/>
  <c r="AW9" i="21"/>
  <c r="AL9" i="21"/>
  <c r="AQ9" i="20" a="1"/>
  <c r="AQ9" i="20" s="1"/>
  <c r="AQ30" i="20" s="1"/>
  <c r="AK15" i="20"/>
  <c r="AL15" i="20" s="1"/>
  <c r="AK9" i="21"/>
  <c r="AH9" i="20" a="1"/>
  <c r="AH9" i="20" s="1"/>
  <c r="AH30" i="20" s="1"/>
  <c r="AG11" i="20"/>
  <c r="AG12" i="20"/>
  <c r="AG13" i="20"/>
  <c r="AG14" i="20"/>
  <c r="AG15" i="20"/>
  <c r="AG16" i="20"/>
  <c r="AG18" i="20"/>
  <c r="AG19" i="20"/>
  <c r="AG20" i="20"/>
  <c r="AG21" i="20"/>
  <c r="AG22" i="20"/>
  <c r="AG23" i="20"/>
  <c r="AK23" i="20" s="1"/>
  <c r="AL23" i="20" s="1"/>
  <c r="AG24" i="20"/>
  <c r="AG25" i="20"/>
  <c r="AG26" i="20"/>
  <c r="AG27" i="20"/>
  <c r="AG28" i="20"/>
  <c r="AG9" i="21"/>
  <c r="W9" i="20" a="1"/>
  <c r="W9" i="20" s="1"/>
  <c r="W30" i="20" s="1"/>
  <c r="K8" i="21"/>
  <c r="I10" i="20"/>
  <c r="I11" i="20"/>
  <c r="I12" i="20"/>
  <c r="I13" i="20"/>
  <c r="I14" i="20"/>
  <c r="I15" i="20"/>
  <c r="I16" i="20"/>
  <c r="I17" i="20"/>
  <c r="I30" i="20" s="1"/>
  <c r="I18" i="20"/>
  <c r="I19" i="20"/>
  <c r="I20" i="20"/>
  <c r="I21" i="20"/>
  <c r="I22" i="20"/>
  <c r="I23" i="20"/>
  <c r="I24" i="20"/>
  <c r="I25" i="20"/>
  <c r="I26" i="20"/>
  <c r="I27" i="20"/>
  <c r="I28" i="20"/>
  <c r="I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9" i="20"/>
  <c r="F10" i="20"/>
  <c r="F11" i="20"/>
  <c r="F12" i="20"/>
  <c r="F13" i="20"/>
  <c r="F14" i="20"/>
  <c r="F15" i="20"/>
  <c r="F16" i="20"/>
  <c r="F17" i="20"/>
  <c r="F30" i="20" s="1"/>
  <c r="F18" i="20"/>
  <c r="F19" i="20"/>
  <c r="F20" i="20"/>
  <c r="F21" i="20"/>
  <c r="F22" i="20"/>
  <c r="F23" i="20"/>
  <c r="F24" i="20"/>
  <c r="F25" i="20"/>
  <c r="F26" i="20"/>
  <c r="F27" i="20"/>
  <c r="F28" i="20"/>
  <c r="F9" i="21"/>
  <c r="BE9" i="9"/>
  <c r="BE10" i="9"/>
  <c r="BE11" i="9"/>
  <c r="BE12" i="9"/>
  <c r="BE13" i="9"/>
  <c r="BE14" i="9"/>
  <c r="BE15" i="9"/>
  <c r="BE16" i="9"/>
  <c r="BE30" i="9" s="1"/>
  <c r="BE17" i="9"/>
  <c r="BE18" i="9"/>
  <c r="BE19" i="9"/>
  <c r="BE20" i="9"/>
  <c r="BE21" i="9"/>
  <c r="BE22" i="9"/>
  <c r="BE23" i="9"/>
  <c r="BE24" i="9"/>
  <c r="BE25" i="9"/>
  <c r="BE26" i="9"/>
  <c r="BE27" i="9"/>
  <c r="BE28" i="9"/>
  <c r="BE8" i="9"/>
  <c r="BD9" i="9"/>
  <c r="BD10" i="9"/>
  <c r="BD11" i="9"/>
  <c r="BD12" i="9"/>
  <c r="BD13" i="9"/>
  <c r="BD14" i="9"/>
  <c r="BD15" i="9"/>
  <c r="BD16" i="9"/>
  <c r="BD30" i="9" s="1"/>
  <c r="BD17" i="9"/>
  <c r="BD18" i="9"/>
  <c r="BD19" i="9"/>
  <c r="BD20" i="9"/>
  <c r="BD21" i="9"/>
  <c r="BD22" i="9"/>
  <c r="BD23" i="9"/>
  <c r="BD24" i="9"/>
  <c r="BD25" i="9"/>
  <c r="BD26" i="9"/>
  <c r="BD27" i="9"/>
  <c r="BD28" i="9"/>
  <c r="BD8" i="9"/>
  <c r="BC9" i="9"/>
  <c r="BC10" i="9"/>
  <c r="BC11" i="9"/>
  <c r="BC12" i="9"/>
  <c r="BC13" i="9"/>
  <c r="BC14" i="9"/>
  <c r="BC15" i="9"/>
  <c r="BC16" i="9"/>
  <c r="BC30" i="9" s="1"/>
  <c r="BC17" i="9"/>
  <c r="BC18" i="9"/>
  <c r="BC19" i="9"/>
  <c r="BC20" i="9"/>
  <c r="BC21" i="9"/>
  <c r="BC22" i="9"/>
  <c r="BC23" i="9"/>
  <c r="BC24" i="9"/>
  <c r="BC25" i="9"/>
  <c r="BC26" i="9"/>
  <c r="BC27" i="9"/>
  <c r="BC28" i="9"/>
  <c r="BC8" i="9"/>
  <c r="BB9" i="9"/>
  <c r="BB10" i="9"/>
  <c r="BB11" i="9"/>
  <c r="BB12" i="9"/>
  <c r="BB13" i="9"/>
  <c r="BB14" i="9"/>
  <c r="BB15" i="9"/>
  <c r="BB16" i="9"/>
  <c r="BB17" i="9"/>
  <c r="BB18" i="9"/>
  <c r="BB19" i="9"/>
  <c r="BB20" i="9"/>
  <c r="BB21" i="9"/>
  <c r="BB22" i="9"/>
  <c r="BB23" i="9"/>
  <c r="BB24" i="9"/>
  <c r="BB25" i="9"/>
  <c r="BB26" i="9"/>
  <c r="BB27" i="9"/>
  <c r="BB28" i="9"/>
  <c r="BB8" i="9"/>
  <c r="BA9" i="9"/>
  <c r="BA10" i="9"/>
  <c r="BA11" i="9"/>
  <c r="BA12" i="9"/>
  <c r="BA13" i="9"/>
  <c r="BA14" i="9"/>
  <c r="BA15" i="9"/>
  <c r="BA30" i="9" s="1"/>
  <c r="BA16" i="9"/>
  <c r="BA17" i="9"/>
  <c r="BA18" i="9"/>
  <c r="BA19" i="9"/>
  <c r="BA20" i="9"/>
  <c r="BA21" i="9"/>
  <c r="BA22" i="9"/>
  <c r="BA23" i="9"/>
  <c r="BA24" i="9"/>
  <c r="BA25" i="9"/>
  <c r="BA26" i="9"/>
  <c r="BA27" i="9"/>
  <c r="BA28" i="9"/>
  <c r="BA8" i="9"/>
  <c r="AZ9" i="10"/>
  <c r="AZ10" i="10"/>
  <c r="AZ11" i="10"/>
  <c r="AZ12" i="10"/>
  <c r="AZ13" i="10"/>
  <c r="AZ14" i="10"/>
  <c r="AZ15" i="10"/>
  <c r="AZ16" i="10"/>
  <c r="AZ17" i="10"/>
  <c r="AZ18" i="10"/>
  <c r="AZ19" i="10"/>
  <c r="AZ20" i="10"/>
  <c r="AZ21" i="10"/>
  <c r="AZ22" i="10"/>
  <c r="AZ23" i="10"/>
  <c r="AZ24" i="10"/>
  <c r="AZ25" i="10"/>
  <c r="AZ26" i="10"/>
  <c r="AZ27" i="10"/>
  <c r="AZ28" i="10"/>
  <c r="AZ8" i="10"/>
  <c r="AZ9" i="9"/>
  <c r="AZ10" i="9"/>
  <c r="AZ11" i="9"/>
  <c r="AZ12" i="9"/>
  <c r="AZ13" i="9"/>
  <c r="AZ14" i="9"/>
  <c r="AZ15" i="9"/>
  <c r="AZ16" i="9"/>
  <c r="AZ30" i="9" s="1"/>
  <c r="AZ17" i="9"/>
  <c r="AZ18" i="9"/>
  <c r="AZ19" i="9"/>
  <c r="AZ20" i="9"/>
  <c r="AZ21" i="9"/>
  <c r="AZ22" i="9"/>
  <c r="AZ23" i="9"/>
  <c r="AZ24" i="9"/>
  <c r="AZ25" i="9"/>
  <c r="AZ26" i="9"/>
  <c r="AZ27" i="9"/>
  <c r="AZ28" i="9"/>
  <c r="AZ8" i="9"/>
  <c r="AX9" i="9"/>
  <c r="AX10" i="9"/>
  <c r="AX11" i="9"/>
  <c r="AX12" i="9"/>
  <c r="AX13" i="9"/>
  <c r="AX14" i="9"/>
  <c r="AX15" i="9"/>
  <c r="AX16" i="9"/>
  <c r="AX30" i="9" s="1"/>
  <c r="AU34" i="9" s="1"/>
  <c r="AX17" i="9"/>
  <c r="AX18" i="9"/>
  <c r="AX19" i="9"/>
  <c r="AX20" i="9"/>
  <c r="AX21" i="9"/>
  <c r="AX22" i="9"/>
  <c r="AX23" i="9"/>
  <c r="AX24" i="9"/>
  <c r="AX25" i="9"/>
  <c r="AX26" i="9"/>
  <c r="AX27" i="9"/>
  <c r="AX28" i="9"/>
  <c r="AW10" i="9"/>
  <c r="AW11" i="9" s="1"/>
  <c r="AW12" i="9" s="1"/>
  <c r="AW13" i="9" s="1"/>
  <c r="AW14" i="9" s="1"/>
  <c r="AW15" i="9" s="1"/>
  <c r="AW16" i="9" s="1"/>
  <c r="AW17" i="9" s="1"/>
  <c r="AW18" i="9" s="1"/>
  <c r="AW19" i="9" s="1"/>
  <c r="AW20" i="9" s="1"/>
  <c r="AW21" i="9" s="1"/>
  <c r="AW22" i="9" s="1"/>
  <c r="AW23" i="9" s="1"/>
  <c r="AW24" i="9" s="1"/>
  <c r="AW25" i="9" s="1"/>
  <c r="AW26" i="9" s="1"/>
  <c r="AW27" i="9" s="1"/>
  <c r="AW28" i="9" s="1"/>
  <c r="AW9" i="9"/>
  <c r="AW9" i="10"/>
  <c r="AU9" i="9"/>
  <c r="AU10" i="9"/>
  <c r="AU11" i="9"/>
  <c r="AU12" i="9"/>
  <c r="AU13" i="9"/>
  <c r="AU14" i="9"/>
  <c r="AU15" i="9"/>
  <c r="AU16" i="9"/>
  <c r="AU30" i="9" s="1"/>
  <c r="E6" i="5" s="1"/>
  <c r="AU17" i="9"/>
  <c r="AU18" i="9"/>
  <c r="AU19" i="9"/>
  <c r="AU20" i="9"/>
  <c r="AU21" i="9"/>
  <c r="AU22" i="9"/>
  <c r="AU23" i="9"/>
  <c r="AU24" i="9"/>
  <c r="AU25" i="9"/>
  <c r="AU26" i="9"/>
  <c r="AU27" i="9"/>
  <c r="AU28" i="9"/>
  <c r="AS9" i="9"/>
  <c r="AS10" i="9"/>
  <c r="AS11" i="9"/>
  <c r="AS12" i="9"/>
  <c r="AS13" i="9"/>
  <c r="AS14" i="9"/>
  <c r="AS15" i="9"/>
  <c r="AS16" i="9"/>
  <c r="AS30" i="9" s="1"/>
  <c r="AS17" i="9"/>
  <c r="AS18" i="9"/>
  <c r="AS19" i="9"/>
  <c r="AS20" i="9"/>
  <c r="AS21" i="9"/>
  <c r="AS22" i="9"/>
  <c r="AS23" i="9"/>
  <c r="AS24" i="9"/>
  <c r="AS25" i="9"/>
  <c r="AS26" i="9"/>
  <c r="AS27" i="9"/>
  <c r="AS28" i="9"/>
  <c r="AR9" i="9" a="1"/>
  <c r="AR9" i="9" s="1"/>
  <c r="AR30" i="9" s="1"/>
  <c r="AQ9" i="9" a="1"/>
  <c r="AQ9" i="9" s="1"/>
  <c r="AQ30" i="9" s="1"/>
  <c r="AO9" i="9" a="1"/>
  <c r="AO9" i="9" s="1"/>
  <c r="AO30" i="9" s="1"/>
  <c r="AL10" i="9"/>
  <c r="AL11" i="9"/>
  <c r="AL12" i="9"/>
  <c r="AL13" i="9"/>
  <c r="AL14" i="9"/>
  <c r="AL15" i="9"/>
  <c r="AL16" i="9"/>
  <c r="AL30" i="9" s="1"/>
  <c r="AL17" i="9"/>
  <c r="AL18" i="9"/>
  <c r="AL19" i="9"/>
  <c r="AL20" i="9"/>
  <c r="AL21" i="9"/>
  <c r="AL22" i="9"/>
  <c r="AL23" i="9"/>
  <c r="AL24" i="9"/>
  <c r="AL25" i="9"/>
  <c r="AL26" i="9"/>
  <c r="AL27" i="9"/>
  <c r="AL28" i="9"/>
  <c r="AL9" i="9"/>
  <c r="AL9" i="10"/>
  <c r="AK10" i="9"/>
  <c r="AK11" i="9"/>
  <c r="AK12" i="9"/>
  <c r="AK13" i="9"/>
  <c r="AK14" i="9"/>
  <c r="AK15" i="9"/>
  <c r="AK16" i="9"/>
  <c r="AK17" i="9"/>
  <c r="AK30" i="9" s="1"/>
  <c r="AK18" i="9"/>
  <c r="AK19" i="9"/>
  <c r="AK20" i="9"/>
  <c r="AK21" i="9"/>
  <c r="AK22" i="9"/>
  <c r="AK23" i="9"/>
  <c r="AK24" i="9"/>
  <c r="AK25" i="9"/>
  <c r="AK26" i="9"/>
  <c r="AK27" i="9"/>
  <c r="AK28" i="9"/>
  <c r="AK9" i="9"/>
  <c r="AK9" i="10"/>
  <c r="AH9" i="9" a="1"/>
  <c r="AH9" i="9" s="1"/>
  <c r="AH30" i="9" s="1"/>
  <c r="AG10" i="9"/>
  <c r="AG11" i="9"/>
  <c r="AG12" i="9"/>
  <c r="AG13" i="9"/>
  <c r="AG14" i="9"/>
  <c r="AG15" i="9"/>
  <c r="AG30" i="9" s="1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9" i="9"/>
  <c r="AG9" i="10"/>
  <c r="W9" i="9" a="1"/>
  <c r="W9" i="9" s="1"/>
  <c r="W30" i="9" s="1"/>
  <c r="U9" i="9" a="1"/>
  <c r="U9" i="9" s="1"/>
  <c r="U30" i="9" s="1"/>
  <c r="S8" i="9" a="1"/>
  <c r="S8" i="9" s="1"/>
  <c r="F9" i="2"/>
  <c r="S10" i="2"/>
  <c r="S11" i="2"/>
  <c r="S30" i="2" s="1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T27" i="2" s="1"/>
  <c r="S28" i="2"/>
  <c r="S9" i="2"/>
  <c r="R10" i="2"/>
  <c r="R11" i="2"/>
  <c r="R12" i="2"/>
  <c r="R13" i="2"/>
  <c r="R14" i="2"/>
  <c r="R15" i="2"/>
  <c r="R16" i="2"/>
  <c r="R17" i="2"/>
  <c r="R30" i="2" s="1"/>
  <c r="R18" i="2"/>
  <c r="R19" i="2"/>
  <c r="R20" i="2"/>
  <c r="R21" i="2"/>
  <c r="R22" i="2"/>
  <c r="R23" i="2"/>
  <c r="R24" i="2"/>
  <c r="R25" i="2"/>
  <c r="R26" i="2"/>
  <c r="R27" i="2"/>
  <c r="R28" i="2"/>
  <c r="R9" i="2"/>
  <c r="Q10" i="2"/>
  <c r="Q11" i="2"/>
  <c r="Q12" i="2"/>
  <c r="Q13" i="2"/>
  <c r="Q14" i="2"/>
  <c r="Q15" i="2"/>
  <c r="Q16" i="2"/>
  <c r="Q17" i="2"/>
  <c r="Q30" i="2" s="1"/>
  <c r="Q18" i="2"/>
  <c r="Q19" i="2"/>
  <c r="Q20" i="2"/>
  <c r="Q21" i="2"/>
  <c r="Q22" i="2"/>
  <c r="Q23" i="2"/>
  <c r="Q24" i="2"/>
  <c r="Q25" i="2"/>
  <c r="Q26" i="2"/>
  <c r="Q27" i="2"/>
  <c r="Q28" i="2"/>
  <c r="Q9" i="2"/>
  <c r="P10" i="2"/>
  <c r="P11" i="2"/>
  <c r="P12" i="2"/>
  <c r="P13" i="2"/>
  <c r="P14" i="2"/>
  <c r="P15" i="2"/>
  <c r="AH15" i="2" s="1"/>
  <c r="AK15" i="2" s="1"/>
  <c r="AR15" i="2" s="1"/>
  <c r="D13" i="3" s="1"/>
  <c r="P16" i="2"/>
  <c r="P17" i="2"/>
  <c r="P18" i="2"/>
  <c r="P19" i="2"/>
  <c r="P20" i="2"/>
  <c r="P21" i="2"/>
  <c r="P22" i="2"/>
  <c r="P23" i="2"/>
  <c r="U23" i="2" s="1"/>
  <c r="P24" i="2"/>
  <c r="P25" i="2"/>
  <c r="P26" i="2"/>
  <c r="P27" i="2"/>
  <c r="P28" i="2"/>
  <c r="P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9" i="2"/>
  <c r="N10" i="2"/>
  <c r="N11" i="2"/>
  <c r="N12" i="2"/>
  <c r="N13" i="2"/>
  <c r="N14" i="2"/>
  <c r="N15" i="2"/>
  <c r="N16" i="2"/>
  <c r="N17" i="2"/>
  <c r="N30" i="2" s="1"/>
  <c r="N18" i="2"/>
  <c r="N19" i="2"/>
  <c r="N20" i="2"/>
  <c r="N21" i="2"/>
  <c r="N22" i="2"/>
  <c r="N23" i="2"/>
  <c r="N24" i="2"/>
  <c r="N25" i="2"/>
  <c r="N26" i="2"/>
  <c r="N27" i="2"/>
  <c r="N28" i="2"/>
  <c r="N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9" i="2"/>
  <c r="M8" i="13" a="1"/>
  <c r="M8" i="13" s="1"/>
  <c r="M8" i="16" s="1" a="1"/>
  <c r="M8" i="16" s="1"/>
  <c r="M8" i="27" s="1" a="1"/>
  <c r="M8" i="27" s="1"/>
  <c r="M8" i="26" s="1" a="1"/>
  <c r="M8" i="26" s="1"/>
  <c r="M8" i="24" a="1"/>
  <c r="M8" i="24" s="1"/>
  <c r="M8" i="25" a="1"/>
  <c r="M8" i="25" s="1"/>
  <c r="M8" i="14" a="1"/>
  <c r="M8" i="14" s="1"/>
  <c r="M8" i="11" a="1"/>
  <c r="M8" i="11" s="1"/>
  <c r="M8" i="22" a="1"/>
  <c r="M8" i="22" s="1"/>
  <c r="M8" i="12" a="1"/>
  <c r="M8" i="12" s="1"/>
  <c r="M8" i="20" a="1"/>
  <c r="M8" i="20" s="1"/>
  <c r="M8" i="2"/>
  <c r="R10" i="9"/>
  <c r="R11" i="9"/>
  <c r="R12" i="9"/>
  <c r="R13" i="9"/>
  <c r="R14" i="9"/>
  <c r="R15" i="9"/>
  <c r="R16" i="9"/>
  <c r="R17" i="9"/>
  <c r="R30" i="9" s="1"/>
  <c r="R18" i="9"/>
  <c r="R19" i="9"/>
  <c r="R20" i="9"/>
  <c r="R21" i="9"/>
  <c r="R22" i="9"/>
  <c r="R23" i="9"/>
  <c r="R24" i="9"/>
  <c r="R25" i="9"/>
  <c r="R26" i="9"/>
  <c r="R27" i="9"/>
  <c r="R28" i="9"/>
  <c r="R9" i="9"/>
  <c r="R9" i="21"/>
  <c r="R30" i="21" s="1"/>
  <c r="R8" i="9"/>
  <c r="R8" i="21"/>
  <c r="Q10" i="9"/>
  <c r="Q11" i="9"/>
  <c r="Q12" i="9"/>
  <c r="Q13" i="9"/>
  <c r="Q14" i="9"/>
  <c r="Q15" i="9"/>
  <c r="Q30" i="9" s="1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9" i="9"/>
  <c r="Q9" i="21"/>
  <c r="Q8" i="9"/>
  <c r="Q8" i="21"/>
  <c r="P10" i="9"/>
  <c r="P11" i="9"/>
  <c r="P12" i="9"/>
  <c r="P13" i="9"/>
  <c r="P14" i="9"/>
  <c r="P30" i="9" s="1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9" i="9"/>
  <c r="P9" i="21"/>
  <c r="P8" i="9"/>
  <c r="P8" i="21"/>
  <c r="O10" i="9"/>
  <c r="O11" i="9"/>
  <c r="O12" i="9"/>
  <c r="O13" i="9"/>
  <c r="O14" i="9"/>
  <c r="O15" i="9"/>
  <c r="O16" i="9"/>
  <c r="O17" i="9"/>
  <c r="O30" i="9" s="1"/>
  <c r="O18" i="9"/>
  <c r="O19" i="9"/>
  <c r="O20" i="9"/>
  <c r="O21" i="9"/>
  <c r="O22" i="9"/>
  <c r="O23" i="9"/>
  <c r="O24" i="9"/>
  <c r="O25" i="9"/>
  <c r="O26" i="9"/>
  <c r="O27" i="9"/>
  <c r="O28" i="9"/>
  <c r="O9" i="9"/>
  <c r="O9" i="21"/>
  <c r="O30" i="21" s="1"/>
  <c r="O8" i="9"/>
  <c r="O8" i="21"/>
  <c r="N10" i="9"/>
  <c r="N11" i="9"/>
  <c r="N12" i="9"/>
  <c r="N13" i="9"/>
  <c r="N14" i="9"/>
  <c r="N15" i="9"/>
  <c r="N16" i="9"/>
  <c r="N17" i="9"/>
  <c r="N30" i="9" s="1"/>
  <c r="N18" i="9"/>
  <c r="N19" i="9"/>
  <c r="N20" i="9"/>
  <c r="N21" i="9"/>
  <c r="N22" i="9"/>
  <c r="N23" i="9"/>
  <c r="N24" i="9"/>
  <c r="N25" i="9"/>
  <c r="N26" i="9"/>
  <c r="N27" i="9"/>
  <c r="N28" i="9"/>
  <c r="N9" i="9"/>
  <c r="N9" i="21"/>
  <c r="N8" i="9"/>
  <c r="N8" i="21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9" i="9"/>
  <c r="M9" i="21"/>
  <c r="AU8" i="9"/>
  <c r="M8" i="9"/>
  <c r="M8" i="21"/>
  <c r="K8" i="9"/>
  <c r="I10" i="9"/>
  <c r="I11" i="9"/>
  <c r="I12" i="9"/>
  <c r="I13" i="9"/>
  <c r="I14" i="9"/>
  <c r="I15" i="9"/>
  <c r="I16" i="9"/>
  <c r="I17" i="9"/>
  <c r="I30" i="9"/>
  <c r="I18" i="9"/>
  <c r="I19" i="9"/>
  <c r="I20" i="9"/>
  <c r="I21" i="9"/>
  <c r="I22" i="9"/>
  <c r="I23" i="9"/>
  <c r="I24" i="9"/>
  <c r="I25" i="9"/>
  <c r="I26" i="9"/>
  <c r="I27" i="9"/>
  <c r="I28" i="9"/>
  <c r="I9" i="9"/>
  <c r="G10" i="9"/>
  <c r="G11" i="9"/>
  <c r="G12" i="9"/>
  <c r="G13" i="9"/>
  <c r="G14" i="9"/>
  <c r="G15" i="9"/>
  <c r="G16" i="9"/>
  <c r="G17" i="9"/>
  <c r="G30" i="9"/>
  <c r="G18" i="9"/>
  <c r="G19" i="9"/>
  <c r="G20" i="9"/>
  <c r="G21" i="9"/>
  <c r="G22" i="9"/>
  <c r="G23" i="9"/>
  <c r="G24" i="9"/>
  <c r="G25" i="9"/>
  <c r="G26" i="9"/>
  <c r="G27" i="9"/>
  <c r="G28" i="9"/>
  <c r="G9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AS8" i="2"/>
  <c r="AS10" i="10"/>
  <c r="AS11" i="10"/>
  <c r="AS12" i="10"/>
  <c r="AS13" i="10"/>
  <c r="AS14" i="10"/>
  <c r="AS15" i="10"/>
  <c r="AS16" i="10"/>
  <c r="AS17" i="10"/>
  <c r="AS18" i="10"/>
  <c r="AS19" i="10"/>
  <c r="AS20" i="10"/>
  <c r="AS21" i="10"/>
  <c r="AS22" i="10"/>
  <c r="AS23" i="10"/>
  <c r="AS24" i="10"/>
  <c r="AS25" i="10"/>
  <c r="AS26" i="10"/>
  <c r="AS27" i="10"/>
  <c r="AS28" i="10"/>
  <c r="AU8" i="10"/>
  <c r="AS8" i="10"/>
  <c r="AQ10" i="21"/>
  <c r="AQ11" i="21"/>
  <c r="AQ12" i="21"/>
  <c r="AQ13" i="21"/>
  <c r="AQ14" i="21"/>
  <c r="AQ15" i="21"/>
  <c r="AQ16" i="21"/>
  <c r="AQ17" i="21"/>
  <c r="AQ18" i="21"/>
  <c r="AQ19" i="21"/>
  <c r="AQ20" i="21"/>
  <c r="AQ21" i="21"/>
  <c r="AQ22" i="21"/>
  <c r="AQ23" i="21"/>
  <c r="AQ24" i="21"/>
  <c r="AQ25" i="21"/>
  <c r="AQ26" i="21"/>
  <c r="AQ27" i="21"/>
  <c r="AQ28" i="21"/>
  <c r="AO10" i="21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R9" i="10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G10" i="21"/>
  <c r="AK10" i="21"/>
  <c r="AL10" i="21" s="1"/>
  <c r="AR10" i="21" s="1"/>
  <c r="AS10" i="21" s="1"/>
  <c r="AG11" i="21"/>
  <c r="AK11" i="21"/>
  <c r="AL11" i="21"/>
  <c r="AR11" i="21" s="1"/>
  <c r="AS11" i="21" s="1"/>
  <c r="AG12" i="21"/>
  <c r="AK12" i="21" s="1"/>
  <c r="AL12" i="21" s="1"/>
  <c r="AR12" i="21" s="1"/>
  <c r="AS12" i="21" s="1"/>
  <c r="AG13" i="21"/>
  <c r="AK13" i="21" s="1"/>
  <c r="AL13" i="21" s="1"/>
  <c r="AR13" i="21" s="1"/>
  <c r="AS13" i="21" s="1"/>
  <c r="AG14" i="21"/>
  <c r="AK14" i="21"/>
  <c r="AL14" i="21"/>
  <c r="AR14" i="21"/>
  <c r="AS14" i="21" s="1"/>
  <c r="AG15" i="21"/>
  <c r="AK15" i="21" s="1"/>
  <c r="AL15" i="21" s="1"/>
  <c r="AR15" i="21" s="1"/>
  <c r="AS15" i="21" s="1"/>
  <c r="AG16" i="21"/>
  <c r="AK16" i="21"/>
  <c r="AL16" i="21" s="1"/>
  <c r="AR16" i="21" s="1"/>
  <c r="AS16" i="21" s="1"/>
  <c r="AG17" i="21"/>
  <c r="AK17" i="21" s="1"/>
  <c r="AL17" i="21" s="1"/>
  <c r="AR17" i="21" s="1"/>
  <c r="AS17" i="21" s="1"/>
  <c r="AG18" i="21"/>
  <c r="AK18" i="21"/>
  <c r="AL18" i="21" s="1"/>
  <c r="AR18" i="21" s="1"/>
  <c r="AS18" i="21" s="1"/>
  <c r="AG19" i="21"/>
  <c r="AK19" i="21"/>
  <c r="AL19" i="21"/>
  <c r="AR19" i="21" s="1"/>
  <c r="AS19" i="21" s="1"/>
  <c r="AG20" i="21"/>
  <c r="AK20" i="21"/>
  <c r="AL20" i="21" s="1"/>
  <c r="AR20" i="21" s="1"/>
  <c r="AS20" i="21" s="1"/>
  <c r="AG21" i="21"/>
  <c r="AK21" i="21" s="1"/>
  <c r="AL21" i="21" s="1"/>
  <c r="AR21" i="21" s="1"/>
  <c r="AS21" i="21" s="1"/>
  <c r="AG22" i="21"/>
  <c r="AK22" i="21"/>
  <c r="AL22" i="21"/>
  <c r="AR22" i="21"/>
  <c r="AS22" i="21" s="1"/>
  <c r="AG23" i="21"/>
  <c r="AK23" i="21" s="1"/>
  <c r="AL23" i="21" s="1"/>
  <c r="AR23" i="21" s="1"/>
  <c r="AS23" i="21" s="1"/>
  <c r="AG24" i="21"/>
  <c r="AK24" i="21"/>
  <c r="AL24" i="21" s="1"/>
  <c r="AR24" i="21" s="1"/>
  <c r="AS24" i="21" s="1"/>
  <c r="AG25" i="21"/>
  <c r="AK25" i="21" s="1"/>
  <c r="AL25" i="21" s="1"/>
  <c r="AR25" i="21" s="1"/>
  <c r="AS25" i="21" s="1"/>
  <c r="AG26" i="21"/>
  <c r="AK26" i="21"/>
  <c r="AL26" i="21" s="1"/>
  <c r="AR26" i="21" s="1"/>
  <c r="AS26" i="21" s="1"/>
  <c r="AG27" i="21"/>
  <c r="AK27" i="21"/>
  <c r="AL27" i="21"/>
  <c r="AR27" i="21" s="1"/>
  <c r="AS27" i="21" s="1"/>
  <c r="AG28" i="21"/>
  <c r="AK28" i="21"/>
  <c r="AL28" i="21" s="1"/>
  <c r="AR28" i="21" s="1"/>
  <c r="AS28" i="21" s="1"/>
  <c r="AG30" i="21"/>
  <c r="W10" i="21"/>
  <c r="W11" i="21"/>
  <c r="W12" i="21"/>
  <c r="W13" i="21"/>
  <c r="W14" i="21"/>
  <c r="W15" i="21"/>
  <c r="W16" i="21"/>
  <c r="W17" i="21"/>
  <c r="W18" i="21"/>
  <c r="W19" i="21"/>
  <c r="W20" i="21"/>
  <c r="W21" i="21"/>
  <c r="W22" i="21"/>
  <c r="W23" i="21"/>
  <c r="W24" i="21"/>
  <c r="W25" i="21"/>
  <c r="W26" i="21"/>
  <c r="W27" i="21"/>
  <c r="W28" i="2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28" i="21"/>
  <c r="U9" i="10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9" i="21"/>
  <c r="S9" i="10"/>
  <c r="S8" i="21"/>
  <c r="S8" i="10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9" i="10"/>
  <c r="R8" i="10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9" i="10"/>
  <c r="Q8" i="10"/>
  <c r="P10" i="21"/>
  <c r="P11" i="21"/>
  <c r="P12" i="21"/>
  <c r="P13" i="21"/>
  <c r="P14" i="21"/>
  <c r="P15" i="21"/>
  <c r="P16" i="21"/>
  <c r="P17" i="21"/>
  <c r="P30" i="21"/>
  <c r="P18" i="21"/>
  <c r="P19" i="21"/>
  <c r="P20" i="21"/>
  <c r="P21" i="21"/>
  <c r="P22" i="21"/>
  <c r="P23" i="21"/>
  <c r="P24" i="21"/>
  <c r="P25" i="21"/>
  <c r="P26" i="21"/>
  <c r="P27" i="21"/>
  <c r="P28" i="21"/>
  <c r="P9" i="10"/>
  <c r="P8" i="10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9" i="10"/>
  <c r="O30" i="10"/>
  <c r="O8" i="10"/>
  <c r="N10" i="21"/>
  <c r="N11" i="21"/>
  <c r="N12" i="21"/>
  <c r="N13" i="21"/>
  <c r="N14" i="21"/>
  <c r="N30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9" i="10"/>
  <c r="N8" i="10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9" i="10"/>
  <c r="M8" i="10"/>
  <c r="K8" i="10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9" i="21"/>
  <c r="AO9" i="21" s="1"/>
  <c r="AO30" i="21" s="1"/>
  <c r="I9" i="10"/>
  <c r="G10" i="21"/>
  <c r="G11" i="21"/>
  <c r="G12" i="21"/>
  <c r="G13" i="21"/>
  <c r="G14" i="21"/>
  <c r="G30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9" i="21"/>
  <c r="G9" i="10"/>
  <c r="AO9" i="10"/>
  <c r="AO30" i="10"/>
  <c r="F10" i="21"/>
  <c r="F11" i="21"/>
  <c r="F12" i="21"/>
  <c r="F13" i="21"/>
  <c r="F14" i="21"/>
  <c r="F15" i="21"/>
  <c r="F16" i="21"/>
  <c r="F30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9" i="10"/>
  <c r="BD8" i="10"/>
  <c r="BB8" i="10"/>
  <c r="AU8" i="2"/>
  <c r="AQ10" i="10"/>
  <c r="AQ11" i="10"/>
  <c r="AQ12" i="10"/>
  <c r="AQ13" i="10"/>
  <c r="AQ14" i="10"/>
  <c r="AQ15" i="10"/>
  <c r="AQ16" i="10"/>
  <c r="AQ17" i="10"/>
  <c r="AQ18" i="10"/>
  <c r="AQ19" i="10"/>
  <c r="AQ20" i="10"/>
  <c r="AQ21" i="10"/>
  <c r="AQ22" i="10"/>
  <c r="AQ23" i="10"/>
  <c r="AQ24" i="10"/>
  <c r="AQ25" i="10"/>
  <c r="AQ26" i="10"/>
  <c r="AQ27" i="10"/>
  <c r="AQ28" i="10"/>
  <c r="AO10" i="10"/>
  <c r="AO11" i="10"/>
  <c r="AO12" i="10"/>
  <c r="AO13" i="10"/>
  <c r="AO14" i="10"/>
  <c r="AO15" i="10"/>
  <c r="AO16" i="10"/>
  <c r="AO17" i="10"/>
  <c r="AO18" i="10"/>
  <c r="AO19" i="10"/>
  <c r="AO20" i="10"/>
  <c r="AO21" i="10"/>
  <c r="AO22" i="10"/>
  <c r="AO23" i="10"/>
  <c r="AO24" i="10"/>
  <c r="AO25" i="10"/>
  <c r="AO26" i="10"/>
  <c r="AO27" i="10"/>
  <c r="AO28" i="10"/>
  <c r="AK20" i="10"/>
  <c r="AL20" i="10"/>
  <c r="AR20" i="10"/>
  <c r="AK22" i="10"/>
  <c r="AK28" i="10"/>
  <c r="AL28" i="10"/>
  <c r="AR28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G10" i="10"/>
  <c r="AK10" i="10"/>
  <c r="AG11" i="10"/>
  <c r="AK11" i="10"/>
  <c r="AG12" i="10"/>
  <c r="AK12" i="10"/>
  <c r="AG13" i="10"/>
  <c r="AK13" i="10"/>
  <c r="AG14" i="10"/>
  <c r="AK14" i="10"/>
  <c r="AG15" i="10"/>
  <c r="AK15" i="10"/>
  <c r="AG16" i="10"/>
  <c r="AK16" i="10"/>
  <c r="AG17" i="10"/>
  <c r="AK17" i="10"/>
  <c r="AG18" i="10"/>
  <c r="AK18" i="10"/>
  <c r="AG19" i="10"/>
  <c r="AK19" i="10"/>
  <c r="AG20" i="10"/>
  <c r="AG21" i="10"/>
  <c r="AK21" i="10"/>
  <c r="AG22" i="10"/>
  <c r="AG23" i="10"/>
  <c r="AK23" i="10"/>
  <c r="AG24" i="10"/>
  <c r="AK24" i="10"/>
  <c r="AG25" i="10"/>
  <c r="AK25" i="10"/>
  <c r="AG26" i="10"/>
  <c r="AK26" i="10"/>
  <c r="AG27" i="10"/>
  <c r="AK27" i="10"/>
  <c r="AG28" i="10"/>
  <c r="AG30" i="10"/>
  <c r="AG9" i="2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S10" i="10"/>
  <c r="S11" i="10"/>
  <c r="S12" i="10"/>
  <c r="S13" i="10"/>
  <c r="S14" i="10"/>
  <c r="S15" i="10"/>
  <c r="S16" i="10"/>
  <c r="S17" i="10"/>
  <c r="S30" i="10"/>
  <c r="S18" i="10"/>
  <c r="S19" i="10"/>
  <c r="S20" i="10"/>
  <c r="S21" i="10"/>
  <c r="S22" i="10"/>
  <c r="S23" i="10"/>
  <c r="S24" i="10"/>
  <c r="S25" i="10"/>
  <c r="S26" i="10"/>
  <c r="S27" i="10"/>
  <c r="S28" i="10"/>
  <c r="S8" i="2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8" i="2"/>
  <c r="Q10" i="10"/>
  <c r="Q11" i="10"/>
  <c r="Q12" i="10"/>
  <c r="Q13" i="10"/>
  <c r="Q14" i="10"/>
  <c r="Q15" i="10"/>
  <c r="Q16" i="10"/>
  <c r="Q30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8" i="2"/>
  <c r="P10" i="10"/>
  <c r="P11" i="10"/>
  <c r="P12" i="10"/>
  <c r="P13" i="10"/>
  <c r="P14" i="10"/>
  <c r="P15" i="10"/>
  <c r="P16" i="10"/>
  <c r="P17" i="10"/>
  <c r="P30" i="10"/>
  <c r="P18" i="10"/>
  <c r="P19" i="10"/>
  <c r="P20" i="10"/>
  <c r="P21" i="10"/>
  <c r="P22" i="10"/>
  <c r="P23" i="10"/>
  <c r="P24" i="10"/>
  <c r="P25" i="10"/>
  <c r="P26" i="10"/>
  <c r="P27" i="10"/>
  <c r="P28" i="10"/>
  <c r="P8" i="2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8" i="2"/>
  <c r="N10" i="10"/>
  <c r="N11" i="10"/>
  <c r="N30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8" i="2"/>
  <c r="M10" i="10"/>
  <c r="M11" i="10"/>
  <c r="M12" i="10"/>
  <c r="M13" i="10"/>
  <c r="M14" i="10"/>
  <c r="M15" i="10"/>
  <c r="M16" i="10"/>
  <c r="M17" i="10"/>
  <c r="M30" i="10"/>
  <c r="M18" i="10"/>
  <c r="M19" i="10"/>
  <c r="M20" i="10"/>
  <c r="M21" i="10"/>
  <c r="M22" i="10"/>
  <c r="M23" i="10"/>
  <c r="M24" i="10"/>
  <c r="M25" i="10"/>
  <c r="M26" i="10"/>
  <c r="M27" i="10"/>
  <c r="M28" i="10"/>
  <c r="U12" i="2"/>
  <c r="AH18" i="2"/>
  <c r="AK18" i="2" s="1"/>
  <c r="U28" i="2"/>
  <c r="AP8" i="10"/>
  <c r="K8" i="2"/>
  <c r="AG13" i="2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9" i="2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F10" i="10"/>
  <c r="F11" i="10"/>
  <c r="F12" i="10"/>
  <c r="F13" i="10"/>
  <c r="F14" i="10"/>
  <c r="F15" i="10"/>
  <c r="F16" i="10"/>
  <c r="F17" i="10"/>
  <c r="F30" i="10"/>
  <c r="F18" i="10"/>
  <c r="F19" i="10"/>
  <c r="F20" i="10"/>
  <c r="F21" i="10"/>
  <c r="F22" i="10"/>
  <c r="F23" i="10"/>
  <c r="F24" i="10"/>
  <c r="F25" i="10"/>
  <c r="F26" i="10"/>
  <c r="F27" i="10"/>
  <c r="F28" i="10"/>
  <c r="F30" i="2"/>
  <c r="AG15" i="2"/>
  <c r="AG19" i="2"/>
  <c r="AG20" i="2"/>
  <c r="AG21" i="2"/>
  <c r="AG22" i="2"/>
  <c r="AG23" i="2"/>
  <c r="AG24" i="2"/>
  <c r="AG25" i="2"/>
  <c r="AG26" i="2"/>
  <c r="AG27" i="2"/>
  <c r="AG28" i="2"/>
  <c r="U27" i="2"/>
  <c r="U13" i="2"/>
  <c r="U14" i="2"/>
  <c r="AQ15" i="2"/>
  <c r="C13" i="3" s="1"/>
  <c r="AH16" i="2"/>
  <c r="U20" i="2"/>
  <c r="AQ21" i="2"/>
  <c r="C19" i="3" s="1"/>
  <c r="U22" i="2"/>
  <c r="AH24" i="2"/>
  <c r="AH26" i="2"/>
  <c r="AK26" i="2" s="1"/>
  <c r="C9" i="25"/>
  <c r="D9" i="25"/>
  <c r="C9" i="24"/>
  <c r="D9" i="24"/>
  <c r="C10" i="24"/>
  <c r="D10" i="24"/>
  <c r="C9" i="26"/>
  <c r="C10" i="26" s="1"/>
  <c r="M28" i="26"/>
  <c r="AH28" i="26" s="1"/>
  <c r="N28" i="26"/>
  <c r="O28" i="26"/>
  <c r="P28" i="26"/>
  <c r="Q28" i="26"/>
  <c r="R28" i="26"/>
  <c r="S28" i="26"/>
  <c r="C9" i="27"/>
  <c r="C10" i="27"/>
  <c r="C11" i="27"/>
  <c r="C9" i="16"/>
  <c r="D9" i="16"/>
  <c r="K8" i="15"/>
  <c r="AP8" i="15"/>
  <c r="AM28" i="26"/>
  <c r="X28" i="26"/>
  <c r="Z28" i="26"/>
  <c r="AA28" i="26"/>
  <c r="AC28" i="26"/>
  <c r="AD28" i="26"/>
  <c r="AE28" i="26"/>
  <c r="AF28" i="26"/>
  <c r="AP8" i="27"/>
  <c r="AS8" i="27" s="1"/>
  <c r="AP8" i="13"/>
  <c r="AS8" i="13" s="1"/>
  <c r="AU8" i="13" s="1"/>
  <c r="C9" i="13"/>
  <c r="C10" i="13"/>
  <c r="D10" i="13" s="1"/>
  <c r="G10" i="13" s="1"/>
  <c r="AP8" i="25"/>
  <c r="AP30" i="25" s="1"/>
  <c r="AP8" i="14"/>
  <c r="AS8" i="14" s="1"/>
  <c r="AU8" i="14" s="1"/>
  <c r="C9" i="14"/>
  <c r="C10" i="14"/>
  <c r="C9" i="11"/>
  <c r="D9" i="11"/>
  <c r="C9" i="23"/>
  <c r="C10" i="23"/>
  <c r="C9" i="22"/>
  <c r="C9" i="12"/>
  <c r="D9" i="12"/>
  <c r="AP8" i="11"/>
  <c r="AP30" i="11"/>
  <c r="AP8" i="22"/>
  <c r="AS8" i="22" s="1"/>
  <c r="BD8" i="22" s="1"/>
  <c r="AP8" i="23"/>
  <c r="AS8" i="23" s="1"/>
  <c r="BC8" i="23" s="1"/>
  <c r="D9" i="23"/>
  <c r="R30" i="23"/>
  <c r="Q30" i="23"/>
  <c r="AP8" i="12"/>
  <c r="AP30" i="12" s="1"/>
  <c r="C9" i="20"/>
  <c r="C9" i="9"/>
  <c r="D9" i="9"/>
  <c r="C9" i="21"/>
  <c r="D9" i="21"/>
  <c r="D9" i="20"/>
  <c r="C10" i="20"/>
  <c r="C11" i="20"/>
  <c r="AP8" i="9"/>
  <c r="AS8" i="9"/>
  <c r="AP8" i="21"/>
  <c r="AS8" i="21" s="1"/>
  <c r="S30" i="21"/>
  <c r="C9" i="10"/>
  <c r="C9" i="2"/>
  <c r="C10" i="2"/>
  <c r="T20" i="2"/>
  <c r="AM9" i="2"/>
  <c r="AM10" i="2"/>
  <c r="C9" i="5"/>
  <c r="C23" i="5"/>
  <c r="E5" i="5"/>
  <c r="F23" i="5"/>
  <c r="E13" i="5"/>
  <c r="H23" i="5"/>
  <c r="E17" i="5"/>
  <c r="I23" i="5"/>
  <c r="E9" i="5"/>
  <c r="G23" i="5"/>
  <c r="C5" i="5"/>
  <c r="B23" i="5"/>
  <c r="J23" i="5"/>
  <c r="C13" i="5"/>
  <c r="D23" i="5"/>
  <c r="C17" i="5"/>
  <c r="E23" i="5"/>
  <c r="A37" i="5"/>
  <c r="A36" i="5"/>
  <c r="A35" i="5"/>
  <c r="A38" i="5"/>
  <c r="D6" i="3"/>
  <c r="C6" i="3"/>
  <c r="I11" i="3"/>
  <c r="I10" i="3"/>
  <c r="I9" i="3"/>
  <c r="I8" i="3"/>
  <c r="I7" i="3"/>
  <c r="I6" i="3"/>
  <c r="G5" i="3"/>
  <c r="A5" i="3"/>
  <c r="A6" i="3"/>
  <c r="A7" i="3"/>
  <c r="C11" i="23"/>
  <c r="D10" i="23"/>
  <c r="R30" i="15"/>
  <c r="P30" i="15"/>
  <c r="N30" i="15"/>
  <c r="AP8" i="26"/>
  <c r="AP30" i="26" s="1"/>
  <c r="D10" i="27"/>
  <c r="C10" i="16"/>
  <c r="D9" i="27"/>
  <c r="D10" i="16"/>
  <c r="C11" i="16"/>
  <c r="C12" i="27"/>
  <c r="D11" i="27"/>
  <c r="D12" i="27"/>
  <c r="C13" i="27"/>
  <c r="S30" i="9"/>
  <c r="AP8" i="20"/>
  <c r="AS8" i="20" s="1"/>
  <c r="BC8" i="20" s="1"/>
  <c r="M30" i="9"/>
  <c r="D10" i="20"/>
  <c r="D9" i="14"/>
  <c r="AM11" i="2"/>
  <c r="A8" i="3"/>
  <c r="AP30" i="9"/>
  <c r="D9" i="10"/>
  <c r="N30" i="23"/>
  <c r="AP8" i="16"/>
  <c r="AP30" i="16" s="1"/>
  <c r="C10" i="10"/>
  <c r="S30" i="23"/>
  <c r="O30" i="23"/>
  <c r="P30" i="23"/>
  <c r="C10" i="22"/>
  <c r="C11" i="22"/>
  <c r="D9" i="22"/>
  <c r="AS8" i="15"/>
  <c r="AP30" i="15"/>
  <c r="AP8" i="24"/>
  <c r="AS8" i="24" s="1"/>
  <c r="C10" i="11"/>
  <c r="Q30" i="15"/>
  <c r="O30" i="15"/>
  <c r="S30" i="15"/>
  <c r="AW8" i="15"/>
  <c r="AX8" i="15"/>
  <c r="D10" i="22"/>
  <c r="C11" i="10"/>
  <c r="C12" i="10"/>
  <c r="C13" i="10"/>
  <c r="D10" i="10"/>
  <c r="AM12" i="2"/>
  <c r="AM13" i="2"/>
  <c r="A9" i="3"/>
  <c r="D11" i="10"/>
  <c r="D11" i="22"/>
  <c r="A10" i="3"/>
  <c r="D12" i="10"/>
  <c r="AM14" i="2"/>
  <c r="A11" i="3"/>
  <c r="D13" i="10"/>
  <c r="C14" i="10"/>
  <c r="C15" i="10"/>
  <c r="D14" i="10"/>
  <c r="G30" i="20"/>
  <c r="F30" i="12"/>
  <c r="G30" i="27"/>
  <c r="W30" i="12"/>
  <c r="I30" i="15"/>
  <c r="U30" i="23"/>
  <c r="C11" i="24"/>
  <c r="AS8" i="11"/>
  <c r="BC8" i="11" s="1"/>
  <c r="AS8" i="12"/>
  <c r="AU8" i="12" s="1"/>
  <c r="AP30" i="20"/>
  <c r="AI30" i="10"/>
  <c r="AB28" i="26"/>
  <c r="AI30" i="13"/>
  <c r="Y28" i="26"/>
  <c r="C12" i="24"/>
  <c r="D11" i="24"/>
  <c r="AI30" i="11"/>
  <c r="AI30" i="16"/>
  <c r="AI30" i="27"/>
  <c r="AI30" i="9"/>
  <c r="AI30" i="23"/>
  <c r="AI30" i="12"/>
  <c r="AI30" i="20"/>
  <c r="AI30" i="15"/>
  <c r="AI30" i="21"/>
  <c r="D12" i="24"/>
  <c r="C13" i="24"/>
  <c r="D13" i="24"/>
  <c r="AI30" i="22"/>
  <c r="AI30" i="14"/>
  <c r="AI30" i="2"/>
  <c r="C14" i="24"/>
  <c r="C15" i="24"/>
  <c r="D15" i="24"/>
  <c r="C16" i="24"/>
  <c r="D16" i="24"/>
  <c r="AI30" i="25"/>
  <c r="AI30" i="24"/>
  <c r="BB30" i="15"/>
  <c r="AS30" i="15"/>
  <c r="AL30" i="24"/>
  <c r="T13" i="2"/>
  <c r="T21" i="2"/>
  <c r="T24" i="2"/>
  <c r="T18" i="2"/>
  <c r="T10" i="2"/>
  <c r="O30" i="2"/>
  <c r="T16" i="2"/>
  <c r="T22" i="2"/>
  <c r="T14" i="2"/>
  <c r="T26" i="2"/>
  <c r="T15" i="2"/>
  <c r="T9" i="2"/>
  <c r="D13" i="27"/>
  <c r="C14" i="27"/>
  <c r="AS8" i="26"/>
  <c r="C12" i="23"/>
  <c r="D11" i="23"/>
  <c r="C10" i="12"/>
  <c r="C12" i="16"/>
  <c r="D11" i="16"/>
  <c r="D10" i="14"/>
  <c r="C11" i="14"/>
  <c r="C17" i="24"/>
  <c r="D14" i="24"/>
  <c r="D10" i="11"/>
  <c r="F10" i="2"/>
  <c r="D10" i="2"/>
  <c r="G10" i="2"/>
  <c r="C11" i="2"/>
  <c r="C11" i="11"/>
  <c r="D9" i="2"/>
  <c r="C10" i="21"/>
  <c r="D15" i="10"/>
  <c r="C16" i="10"/>
  <c r="AM15" i="2"/>
  <c r="A12" i="3"/>
  <c r="AW8" i="12"/>
  <c r="AX8" i="12" s="1"/>
  <c r="C12" i="22"/>
  <c r="C12" i="20"/>
  <c r="D11" i="20"/>
  <c r="C10" i="9"/>
  <c r="AG12" i="2"/>
  <c r="AQ28" i="2"/>
  <c r="AQ20" i="2"/>
  <c r="C18" i="3" s="1"/>
  <c r="AQ13" i="2"/>
  <c r="U15" i="2"/>
  <c r="AP8" i="2"/>
  <c r="AG11" i="2"/>
  <c r="AH22" i="2"/>
  <c r="AH14" i="2"/>
  <c r="AK14" i="2" s="1"/>
  <c r="AQ12" i="2"/>
  <c r="C10" i="3" s="1"/>
  <c r="U16" i="2"/>
  <c r="U24" i="2"/>
  <c r="AG18" i="2"/>
  <c r="AG10" i="2"/>
  <c r="AH21" i="2"/>
  <c r="AK21" i="2" s="1"/>
  <c r="AH13" i="2"/>
  <c r="AQ26" i="2"/>
  <c r="C24" i="3" s="1"/>
  <c r="AQ18" i="2"/>
  <c r="C16" i="3" s="1"/>
  <c r="U9" i="2"/>
  <c r="AG17" i="2"/>
  <c r="AH28" i="2"/>
  <c r="AK28" i="2" s="1"/>
  <c r="AH20" i="2"/>
  <c r="AK20" i="2" s="1"/>
  <c r="AH12" i="2"/>
  <c r="AK12" i="2" s="1"/>
  <c r="AH9" i="2"/>
  <c r="AK9" i="2" s="1"/>
  <c r="U10" i="2"/>
  <c r="U18" i="2"/>
  <c r="U26" i="2"/>
  <c r="T12" i="2"/>
  <c r="T28" i="2"/>
  <c r="AG16" i="2"/>
  <c r="AQ24" i="2"/>
  <c r="C22" i="3" s="1"/>
  <c r="AQ10" i="2"/>
  <c r="C8" i="3" s="1"/>
  <c r="D9" i="26"/>
  <c r="G9" i="26" s="1"/>
  <c r="C10" i="25"/>
  <c r="AQ16" i="2"/>
  <c r="C14" i="3" s="1"/>
  <c r="AG14" i="2"/>
  <c r="AQ22" i="2"/>
  <c r="C20" i="3" s="1"/>
  <c r="U21" i="2"/>
  <c r="AQ14" i="2"/>
  <c r="C12" i="3" s="1"/>
  <c r="C17" i="10"/>
  <c r="D16" i="10"/>
  <c r="C18" i="24"/>
  <c r="D17" i="24"/>
  <c r="C11" i="12"/>
  <c r="D10" i="12"/>
  <c r="D10" i="21"/>
  <c r="C11" i="21"/>
  <c r="W10" i="2"/>
  <c r="I10" i="2"/>
  <c r="AO10" i="2"/>
  <c r="D11" i="14"/>
  <c r="C12" i="14"/>
  <c r="C13" i="23"/>
  <c r="D12" i="23"/>
  <c r="AP30" i="2"/>
  <c r="B6" i="3"/>
  <c r="G9" i="2"/>
  <c r="C13" i="20"/>
  <c r="D12" i="20"/>
  <c r="W9" i="2"/>
  <c r="C12" i="11"/>
  <c r="D11" i="11"/>
  <c r="D10" i="25"/>
  <c r="C11" i="25"/>
  <c r="D14" i="27"/>
  <c r="C15" i="27"/>
  <c r="C11" i="9"/>
  <c r="D10" i="9"/>
  <c r="C13" i="22"/>
  <c r="D12" i="22"/>
  <c r="AM16" i="2"/>
  <c r="A13" i="3"/>
  <c r="F11" i="2"/>
  <c r="C12" i="2"/>
  <c r="D11" i="2"/>
  <c r="G11" i="2"/>
  <c r="D12" i="16"/>
  <c r="C13" i="16"/>
  <c r="F12" i="2"/>
  <c r="C13" i="2"/>
  <c r="D12" i="2"/>
  <c r="G12" i="2"/>
  <c r="D11" i="25"/>
  <c r="C12" i="25"/>
  <c r="C18" i="10"/>
  <c r="D17" i="10"/>
  <c r="D15" i="27"/>
  <c r="C16" i="27"/>
  <c r="W11" i="2"/>
  <c r="I11" i="2"/>
  <c r="AO11" i="2"/>
  <c r="A14" i="3"/>
  <c r="AM17" i="2"/>
  <c r="D11" i="12"/>
  <c r="C12" i="12"/>
  <c r="C13" i="11"/>
  <c r="D12" i="11"/>
  <c r="C14" i="23"/>
  <c r="D13" i="23"/>
  <c r="C14" i="22"/>
  <c r="D13" i="22"/>
  <c r="C14" i="20"/>
  <c r="D13" i="20"/>
  <c r="D12" i="14"/>
  <c r="C13" i="14"/>
  <c r="C12" i="21"/>
  <c r="D11" i="21"/>
  <c r="D11" i="9"/>
  <c r="C12" i="9"/>
  <c r="C14" i="16"/>
  <c r="D13" i="16"/>
  <c r="C19" i="24"/>
  <c r="D18" i="24"/>
  <c r="AM18" i="2"/>
  <c r="A15" i="3"/>
  <c r="C15" i="23"/>
  <c r="D14" i="23"/>
  <c r="C13" i="12"/>
  <c r="D12" i="12"/>
  <c r="C14" i="14"/>
  <c r="D13" i="14"/>
  <c r="D12" i="9"/>
  <c r="C13" i="9"/>
  <c r="C15" i="20"/>
  <c r="D14" i="20"/>
  <c r="D16" i="27"/>
  <c r="C17" i="27"/>
  <c r="D14" i="16"/>
  <c r="C15" i="16"/>
  <c r="D13" i="11"/>
  <c r="C14" i="11"/>
  <c r="C20" i="24"/>
  <c r="D19" i="24"/>
  <c r="C19" i="10"/>
  <c r="D18" i="10"/>
  <c r="F13" i="2"/>
  <c r="D13" i="2"/>
  <c r="C14" i="2"/>
  <c r="D12" i="21"/>
  <c r="C13" i="21"/>
  <c r="D14" i="22"/>
  <c r="C15" i="22"/>
  <c r="D12" i="25"/>
  <c r="C13" i="25"/>
  <c r="AO12" i="2"/>
  <c r="W12" i="2"/>
  <c r="I12" i="2"/>
  <c r="D14" i="11"/>
  <c r="C15" i="11"/>
  <c r="C15" i="14"/>
  <c r="D14" i="14"/>
  <c r="C16" i="23"/>
  <c r="D15" i="23"/>
  <c r="D13" i="25"/>
  <c r="C14" i="25"/>
  <c r="F14" i="2"/>
  <c r="C15" i="2"/>
  <c r="D14" i="2"/>
  <c r="G14" i="2"/>
  <c r="G13" i="2"/>
  <c r="C16" i="16"/>
  <c r="D15" i="16"/>
  <c r="D15" i="20"/>
  <c r="C16" i="20"/>
  <c r="C18" i="27"/>
  <c r="D17" i="27"/>
  <c r="D15" i="22"/>
  <c r="C16" i="22"/>
  <c r="I13" i="2"/>
  <c r="AM19" i="2"/>
  <c r="A16" i="3"/>
  <c r="D19" i="10"/>
  <c r="C20" i="10"/>
  <c r="D13" i="21"/>
  <c r="C14" i="21"/>
  <c r="D20" i="24"/>
  <c r="C21" i="24"/>
  <c r="C14" i="9"/>
  <c r="D13" i="9"/>
  <c r="D13" i="12"/>
  <c r="C14" i="12"/>
  <c r="C15" i="12"/>
  <c r="D14" i="12"/>
  <c r="C16" i="14"/>
  <c r="D15" i="14"/>
  <c r="D16" i="22"/>
  <c r="C17" i="22"/>
  <c r="D16" i="16"/>
  <c r="C17" i="16"/>
  <c r="D14" i="21"/>
  <c r="C15" i="21"/>
  <c r="D16" i="20"/>
  <c r="C17" i="20"/>
  <c r="D15" i="11"/>
  <c r="C16" i="11"/>
  <c r="I14" i="2"/>
  <c r="AO14" i="2"/>
  <c r="W14" i="2"/>
  <c r="C15" i="25"/>
  <c r="D14" i="25"/>
  <c r="C15" i="9"/>
  <c r="D14" i="9"/>
  <c r="D21" i="24"/>
  <c r="C22" i="24"/>
  <c r="C19" i="27"/>
  <c r="D18" i="27"/>
  <c r="AM20" i="2"/>
  <c r="A17" i="3"/>
  <c r="D20" i="10"/>
  <c r="C21" i="10"/>
  <c r="W13" i="2"/>
  <c r="AO13" i="2"/>
  <c r="F15" i="2"/>
  <c r="C16" i="2"/>
  <c r="D15" i="2"/>
  <c r="C17" i="23"/>
  <c r="D16" i="23"/>
  <c r="D17" i="16"/>
  <c r="C18" i="16"/>
  <c r="AO15" i="2"/>
  <c r="W15" i="2"/>
  <c r="AM21" i="2"/>
  <c r="A18" i="3"/>
  <c r="C17" i="11"/>
  <c r="D16" i="11"/>
  <c r="G15" i="2"/>
  <c r="C18" i="22"/>
  <c r="D17" i="22"/>
  <c r="D15" i="12"/>
  <c r="C16" i="12"/>
  <c r="D22" i="24"/>
  <c r="C23" i="24"/>
  <c r="C16" i="9"/>
  <c r="D15" i="9"/>
  <c r="C20" i="27"/>
  <c r="D19" i="27"/>
  <c r="C18" i="20"/>
  <c r="D17" i="20"/>
  <c r="D16" i="14"/>
  <c r="C17" i="14"/>
  <c r="C17" i="2"/>
  <c r="F16" i="2"/>
  <c r="D16" i="2"/>
  <c r="G16" i="2"/>
  <c r="C16" i="25"/>
  <c r="D15" i="25"/>
  <c r="C22" i="10"/>
  <c r="D21" i="10"/>
  <c r="D17" i="23"/>
  <c r="C18" i="23"/>
  <c r="C16" i="21"/>
  <c r="D15" i="21"/>
  <c r="D18" i="23"/>
  <c r="C19" i="23"/>
  <c r="C19" i="22"/>
  <c r="D18" i="22"/>
  <c r="D16" i="21"/>
  <c r="C17" i="21"/>
  <c r="D23" i="24"/>
  <c r="C24" i="24"/>
  <c r="I15" i="2"/>
  <c r="D17" i="14"/>
  <c r="C18" i="14"/>
  <c r="C19" i="20"/>
  <c r="D18" i="20"/>
  <c r="D18" i="16"/>
  <c r="C19" i="16"/>
  <c r="AM22" i="2"/>
  <c r="A19" i="3"/>
  <c r="C23" i="10"/>
  <c r="D22" i="10"/>
  <c r="D16" i="25"/>
  <c r="C17" i="25"/>
  <c r="I16" i="2"/>
  <c r="AO16" i="2"/>
  <c r="W16" i="2"/>
  <c r="AK16" i="2"/>
  <c r="AR16" i="2" s="1"/>
  <c r="D14" i="3" s="1"/>
  <c r="D20" i="27"/>
  <c r="C21" i="27"/>
  <c r="D16" i="12"/>
  <c r="C17" i="12"/>
  <c r="C18" i="11"/>
  <c r="D17" i="11"/>
  <c r="D16" i="9"/>
  <c r="C17" i="9"/>
  <c r="F17" i="2"/>
  <c r="D17" i="2"/>
  <c r="C18" i="2"/>
  <c r="G17" i="2"/>
  <c r="W17" i="2"/>
  <c r="I17" i="2"/>
  <c r="AO17" i="2"/>
  <c r="D18" i="11"/>
  <c r="C19" i="11"/>
  <c r="A20" i="3"/>
  <c r="AM23" i="2"/>
  <c r="D17" i="9"/>
  <c r="C18" i="9"/>
  <c r="D17" i="25"/>
  <c r="C18" i="25"/>
  <c r="D19" i="16"/>
  <c r="C20" i="16"/>
  <c r="D24" i="24"/>
  <c r="C25" i="24"/>
  <c r="D19" i="22"/>
  <c r="C20" i="22"/>
  <c r="D18" i="14"/>
  <c r="C19" i="14"/>
  <c r="D19" i="23"/>
  <c r="C20" i="23"/>
  <c r="C18" i="12"/>
  <c r="D17" i="12"/>
  <c r="F18" i="2"/>
  <c r="D18" i="2"/>
  <c r="G18" i="2"/>
  <c r="C19" i="2"/>
  <c r="D17" i="21"/>
  <c r="C18" i="21"/>
  <c r="D21" i="27"/>
  <c r="C22" i="27"/>
  <c r="D23" i="10"/>
  <c r="C24" i="10"/>
  <c r="D19" i="20"/>
  <c r="C20" i="20"/>
  <c r="W18" i="2"/>
  <c r="I18" i="2"/>
  <c r="AO18" i="2"/>
  <c r="C19" i="21"/>
  <c r="D18" i="21"/>
  <c r="D19" i="14"/>
  <c r="C20" i="14"/>
  <c r="C21" i="20"/>
  <c r="D20" i="20"/>
  <c r="D18" i="12"/>
  <c r="C19" i="12"/>
  <c r="D18" i="25"/>
  <c r="C19" i="25"/>
  <c r="AM24" i="2"/>
  <c r="A21" i="3"/>
  <c r="D20" i="22"/>
  <c r="C21" i="22"/>
  <c r="D22" i="27"/>
  <c r="C23" i="27"/>
  <c r="C21" i="23"/>
  <c r="D20" i="23"/>
  <c r="D20" i="16"/>
  <c r="C21" i="16"/>
  <c r="C20" i="11"/>
  <c r="D19" i="11"/>
  <c r="C19" i="9"/>
  <c r="D18" i="9"/>
  <c r="C25" i="10"/>
  <c r="D24" i="10"/>
  <c r="C20" i="2"/>
  <c r="F19" i="2"/>
  <c r="D19" i="2"/>
  <c r="G19" i="2"/>
  <c r="C26" i="24"/>
  <c r="D25" i="24"/>
  <c r="C27" i="24"/>
  <c r="D26" i="24"/>
  <c r="C22" i="16"/>
  <c r="D21" i="16"/>
  <c r="C24" i="27"/>
  <c r="D23" i="27"/>
  <c r="A22" i="3"/>
  <c r="AM25" i="2"/>
  <c r="D20" i="14"/>
  <c r="C21" i="14"/>
  <c r="C26" i="10"/>
  <c r="D25" i="10"/>
  <c r="D21" i="22"/>
  <c r="C22" i="22"/>
  <c r="D19" i="25"/>
  <c r="C20" i="25"/>
  <c r="C20" i="9"/>
  <c r="D19" i="9"/>
  <c r="C22" i="20"/>
  <c r="D21" i="20"/>
  <c r="C22" i="23"/>
  <c r="D21" i="23"/>
  <c r="AO19" i="2"/>
  <c r="W19" i="2"/>
  <c r="I19" i="2"/>
  <c r="F20" i="2"/>
  <c r="D20" i="2"/>
  <c r="G20" i="2"/>
  <c r="C21" i="2"/>
  <c r="C21" i="11"/>
  <c r="D20" i="11"/>
  <c r="C20" i="12"/>
  <c r="D19" i="12"/>
  <c r="D19" i="21"/>
  <c r="C20" i="21"/>
  <c r="C22" i="11"/>
  <c r="D21" i="11"/>
  <c r="C21" i="21"/>
  <c r="D20" i="21"/>
  <c r="D22" i="23"/>
  <c r="C23" i="23"/>
  <c r="AO20" i="2"/>
  <c r="W20" i="2"/>
  <c r="I20" i="2"/>
  <c r="D22" i="20"/>
  <c r="C23" i="20"/>
  <c r="AM26" i="2"/>
  <c r="A23" i="3"/>
  <c r="D22" i="22"/>
  <c r="C23" i="22"/>
  <c r="C23" i="16"/>
  <c r="D22" i="16"/>
  <c r="F21" i="2"/>
  <c r="D21" i="2"/>
  <c r="G21" i="2"/>
  <c r="C22" i="2"/>
  <c r="D20" i="9"/>
  <c r="C21" i="9"/>
  <c r="D24" i="27"/>
  <c r="C25" i="27"/>
  <c r="C22" i="14"/>
  <c r="D21" i="14"/>
  <c r="D20" i="12"/>
  <c r="C21" i="12"/>
  <c r="D20" i="25"/>
  <c r="C21" i="25"/>
  <c r="C27" i="10"/>
  <c r="D26" i="10"/>
  <c r="D27" i="24"/>
  <c r="C28" i="24"/>
  <c r="C22" i="9"/>
  <c r="D21" i="9"/>
  <c r="C24" i="22"/>
  <c r="D23" i="22"/>
  <c r="C24" i="23"/>
  <c r="D23" i="23"/>
  <c r="D28" i="24"/>
  <c r="D30" i="24"/>
  <c r="C30" i="24"/>
  <c r="D27" i="10"/>
  <c r="C28" i="10"/>
  <c r="C22" i="25"/>
  <c r="D21" i="25"/>
  <c r="F22" i="2"/>
  <c r="C23" i="2"/>
  <c r="D22" i="2"/>
  <c r="G22" i="2"/>
  <c r="AM27" i="2"/>
  <c r="A24" i="3"/>
  <c r="D21" i="21"/>
  <c r="C22" i="21"/>
  <c r="C24" i="16"/>
  <c r="D23" i="16"/>
  <c r="C23" i="11"/>
  <c r="D22" i="11"/>
  <c r="C22" i="12"/>
  <c r="D21" i="12"/>
  <c r="D22" i="14"/>
  <c r="C23" i="14"/>
  <c r="D23" i="20"/>
  <c r="C24" i="20"/>
  <c r="D25" i="27"/>
  <c r="C26" i="27"/>
  <c r="I21" i="2"/>
  <c r="AO21" i="2"/>
  <c r="W21" i="2"/>
  <c r="D24" i="20"/>
  <c r="C25" i="20"/>
  <c r="F23" i="2"/>
  <c r="D23" i="2"/>
  <c r="G23" i="2"/>
  <c r="C24" i="2"/>
  <c r="D24" i="22"/>
  <c r="C25" i="22"/>
  <c r="C23" i="21"/>
  <c r="D22" i="21"/>
  <c r="C25" i="16"/>
  <c r="D24" i="16"/>
  <c r="D24" i="23"/>
  <c r="C25" i="23"/>
  <c r="D23" i="14"/>
  <c r="C24" i="14"/>
  <c r="D22" i="25"/>
  <c r="C23" i="25"/>
  <c r="D23" i="11"/>
  <c r="C24" i="11"/>
  <c r="D28" i="10"/>
  <c r="D30" i="10"/>
  <c r="C30" i="10"/>
  <c r="I22" i="2"/>
  <c r="AO22" i="2"/>
  <c r="W22" i="2"/>
  <c r="AK22" i="2"/>
  <c r="AL22" i="2" s="1"/>
  <c r="D22" i="12"/>
  <c r="C23" i="12"/>
  <c r="D26" i="27"/>
  <c r="C27" i="27"/>
  <c r="AM28" i="2"/>
  <c r="A26" i="3"/>
  <c r="A25" i="3"/>
  <c r="C23" i="9"/>
  <c r="D22" i="9"/>
  <c r="C24" i="9"/>
  <c r="D23" i="9"/>
  <c r="D24" i="11"/>
  <c r="C25" i="11"/>
  <c r="C26" i="23"/>
  <c r="D25" i="23"/>
  <c r="F24" i="2"/>
  <c r="D24" i="2"/>
  <c r="G24" i="2"/>
  <c r="C25" i="2"/>
  <c r="D23" i="21"/>
  <c r="C24" i="21"/>
  <c r="C25" i="14"/>
  <c r="D24" i="14"/>
  <c r="D23" i="25"/>
  <c r="C24" i="25"/>
  <c r="C28" i="27"/>
  <c r="D27" i="27"/>
  <c r="I23" i="2"/>
  <c r="AO23" i="2"/>
  <c r="W23" i="2"/>
  <c r="D25" i="16"/>
  <c r="C26" i="16"/>
  <c r="C26" i="20"/>
  <c r="D25" i="20"/>
  <c r="D25" i="22"/>
  <c r="C26" i="22"/>
  <c r="C24" i="12"/>
  <c r="D23" i="12"/>
  <c r="C26" i="11"/>
  <c r="D25" i="11"/>
  <c r="C25" i="21"/>
  <c r="D24" i="21"/>
  <c r="C26" i="14"/>
  <c r="D25" i="14"/>
  <c r="D26" i="20"/>
  <c r="C27" i="20"/>
  <c r="D26" i="16"/>
  <c r="C27" i="16"/>
  <c r="F25" i="2"/>
  <c r="D25" i="2"/>
  <c r="G25" i="2"/>
  <c r="C26" i="2"/>
  <c r="C25" i="12"/>
  <c r="D24" i="12"/>
  <c r="C27" i="23"/>
  <c r="D26" i="23"/>
  <c r="D28" i="27"/>
  <c r="D30" i="27"/>
  <c r="C30" i="27"/>
  <c r="D24" i="25"/>
  <c r="C25" i="25"/>
  <c r="C27" i="22"/>
  <c r="D26" i="22"/>
  <c r="I24" i="2"/>
  <c r="AO24" i="2"/>
  <c r="W24" i="2"/>
  <c r="AK24" i="2"/>
  <c r="AL24" i="2" s="1"/>
  <c r="D24" i="9"/>
  <c r="C25" i="9"/>
  <c r="D26" i="14"/>
  <c r="C27" i="14"/>
  <c r="C26" i="12"/>
  <c r="D25" i="12"/>
  <c r="C28" i="16"/>
  <c r="D27" i="16"/>
  <c r="D27" i="22"/>
  <c r="C28" i="22"/>
  <c r="F26" i="2"/>
  <c r="C27" i="2"/>
  <c r="D26" i="2"/>
  <c r="G26" i="2"/>
  <c r="D27" i="20"/>
  <c r="C28" i="20"/>
  <c r="D25" i="9"/>
  <c r="C26" i="9"/>
  <c r="D25" i="21"/>
  <c r="C26" i="21"/>
  <c r="C28" i="23"/>
  <c r="D27" i="23"/>
  <c r="C26" i="25"/>
  <c r="D25" i="25"/>
  <c r="W25" i="2"/>
  <c r="I25" i="2"/>
  <c r="AO25" i="2"/>
  <c r="C27" i="11"/>
  <c r="D26" i="11"/>
  <c r="D28" i="16"/>
  <c r="D30" i="16"/>
  <c r="C30" i="16"/>
  <c r="D26" i="12"/>
  <c r="C27" i="12"/>
  <c r="F27" i="2"/>
  <c r="D27" i="2"/>
  <c r="G27" i="2"/>
  <c r="C28" i="2"/>
  <c r="D27" i="14"/>
  <c r="C28" i="14"/>
  <c r="C27" i="25"/>
  <c r="D26" i="25"/>
  <c r="D28" i="23"/>
  <c r="D30" i="23"/>
  <c r="C30" i="23"/>
  <c r="D26" i="21"/>
  <c r="C27" i="21"/>
  <c r="W26" i="2"/>
  <c r="I26" i="2"/>
  <c r="AO26" i="2"/>
  <c r="D28" i="22"/>
  <c r="D30" i="22"/>
  <c r="C30" i="22"/>
  <c r="D28" i="20"/>
  <c r="D30" i="20"/>
  <c r="C30" i="20"/>
  <c r="C27" i="9"/>
  <c r="D26" i="9"/>
  <c r="C28" i="11"/>
  <c r="D27" i="11"/>
  <c r="F28" i="2"/>
  <c r="D28" i="2"/>
  <c r="C30" i="2"/>
  <c r="AO27" i="2"/>
  <c r="W27" i="2"/>
  <c r="I27" i="2"/>
  <c r="C28" i="12"/>
  <c r="D27" i="12"/>
  <c r="C28" i="25"/>
  <c r="D27" i="25"/>
  <c r="D28" i="11"/>
  <c r="D30" i="11"/>
  <c r="C30" i="11"/>
  <c r="D27" i="9"/>
  <c r="C28" i="9"/>
  <c r="C28" i="21"/>
  <c r="D27" i="21"/>
  <c r="D28" i="14"/>
  <c r="D30" i="14"/>
  <c r="C30" i="14"/>
  <c r="D28" i="21"/>
  <c r="D30" i="21"/>
  <c r="C30" i="21"/>
  <c r="D28" i="25"/>
  <c r="D30" i="25"/>
  <c r="C30" i="25"/>
  <c r="D28" i="9"/>
  <c r="D30" i="9"/>
  <c r="C30" i="9"/>
  <c r="D28" i="12"/>
  <c r="D30" i="12"/>
  <c r="C30" i="12"/>
  <c r="G28" i="2"/>
  <c r="G30" i="2"/>
  <c r="D30" i="2"/>
  <c r="I28" i="2"/>
  <c r="W28" i="2"/>
  <c r="AO28" i="2"/>
  <c r="W30" i="2"/>
  <c r="R30" i="10"/>
  <c r="AQ9" i="2"/>
  <c r="AH10" i="2"/>
  <c r="AK10" i="2" s="1"/>
  <c r="AK13" i="2"/>
  <c r="AL13" i="2" s="1"/>
  <c r="AW8" i="10"/>
  <c r="AP30" i="10"/>
  <c r="AL16" i="2"/>
  <c r="AG30" i="2"/>
  <c r="BE8" i="2"/>
  <c r="BD8" i="2"/>
  <c r="BC8" i="2"/>
  <c r="BA8" i="2"/>
  <c r="E6" i="3"/>
  <c r="AW8" i="2"/>
  <c r="F6" i="3"/>
  <c r="BB8" i="2"/>
  <c r="AZ8" i="2"/>
  <c r="AO9" i="2"/>
  <c r="AO30" i="2" s="1"/>
  <c r="I30" i="2"/>
  <c r="G6" i="3"/>
  <c r="AW8" i="9"/>
  <c r="AX8" i="9"/>
  <c r="BB30" i="9"/>
  <c r="F30" i="9"/>
  <c r="W9" i="21"/>
  <c r="W30" i="21" s="1"/>
  <c r="Q30" i="21"/>
  <c r="AQ9" i="10"/>
  <c r="AQ30" i="10"/>
  <c r="AP30" i="21"/>
  <c r="AL24" i="10"/>
  <c r="AR24" i="10"/>
  <c r="AL16" i="10"/>
  <c r="AR16" i="10"/>
  <c r="AL23" i="10"/>
  <c r="AR23" i="10"/>
  <c r="AL15" i="10"/>
  <c r="AR15" i="10"/>
  <c r="AL21" i="10"/>
  <c r="AR21" i="10"/>
  <c r="AL13" i="10"/>
  <c r="AR13" i="10"/>
  <c r="AL14" i="10"/>
  <c r="AR14" i="10"/>
  <c r="AL12" i="10"/>
  <c r="AR12" i="10"/>
  <c r="AL27" i="10"/>
  <c r="AR27" i="10"/>
  <c r="AL19" i="10"/>
  <c r="AR19" i="10"/>
  <c r="AL11" i="10"/>
  <c r="AR11" i="10"/>
  <c r="AL26" i="10"/>
  <c r="AR26" i="10"/>
  <c r="AL18" i="10"/>
  <c r="AR18" i="10"/>
  <c r="AL10" i="10"/>
  <c r="AR10" i="10"/>
  <c r="AL25" i="10"/>
  <c r="AR25" i="10"/>
  <c r="AL17" i="10"/>
  <c r="AR17" i="10"/>
  <c r="AL22" i="10"/>
  <c r="AR22" i="10"/>
  <c r="BA8" i="10"/>
  <c r="BC8" i="10"/>
  <c r="BE8" i="10"/>
  <c r="G30" i="10"/>
  <c r="W9" i="10"/>
  <c r="I30" i="10"/>
  <c r="U30" i="10"/>
  <c r="AH9" i="10"/>
  <c r="AH30" i="10"/>
  <c r="BA15" i="10"/>
  <c r="BD15" i="10"/>
  <c r="BB15" i="10"/>
  <c r="BC15" i="10"/>
  <c r="AU15" i="10"/>
  <c r="BE15" i="10"/>
  <c r="BD22" i="10"/>
  <c r="BB22" i="10"/>
  <c r="AU22" i="10"/>
  <c r="BE22" i="10"/>
  <c r="BC22" i="10"/>
  <c r="BA22" i="10"/>
  <c r="AU12" i="10"/>
  <c r="BE12" i="10"/>
  <c r="BC12" i="10"/>
  <c r="BA12" i="10"/>
  <c r="BD12" i="10"/>
  <c r="BB12" i="10"/>
  <c r="BE10" i="10"/>
  <c r="BC10" i="10"/>
  <c r="BA10" i="10"/>
  <c r="AU10" i="10"/>
  <c r="BD10" i="10"/>
  <c r="BB10" i="10"/>
  <c r="BD13" i="10"/>
  <c r="AU13" i="10"/>
  <c r="BB13" i="10"/>
  <c r="BE13" i="10"/>
  <c r="BC13" i="10"/>
  <c r="BA13" i="10"/>
  <c r="BA17" i="10"/>
  <c r="BC17" i="10"/>
  <c r="BD17" i="10"/>
  <c r="BB17" i="10"/>
  <c r="AU17" i="10"/>
  <c r="BE17" i="10"/>
  <c r="AU11" i="10"/>
  <c r="BD11" i="10"/>
  <c r="BB11" i="10"/>
  <c r="BE11" i="10"/>
  <c r="BC11" i="10"/>
  <c r="BA11" i="10"/>
  <c r="AU20" i="10"/>
  <c r="BE20" i="10"/>
  <c r="BC20" i="10"/>
  <c r="BA20" i="10"/>
  <c r="BD20" i="10"/>
  <c r="BB20" i="10"/>
  <c r="BC25" i="10"/>
  <c r="BA25" i="10"/>
  <c r="BD25" i="10"/>
  <c r="BB25" i="10"/>
  <c r="BE25" i="10"/>
  <c r="AU25" i="10"/>
  <c r="BD23" i="10"/>
  <c r="BB23" i="10"/>
  <c r="BE23" i="10"/>
  <c r="AU23" i="10"/>
  <c r="BC23" i="10"/>
  <c r="BA23" i="10"/>
  <c r="AU19" i="10"/>
  <c r="BE19" i="10"/>
  <c r="BC19" i="10"/>
  <c r="BA19" i="10"/>
  <c r="BB19" i="10"/>
  <c r="BD19" i="10"/>
  <c r="AU28" i="10"/>
  <c r="BE28" i="10"/>
  <c r="BC28" i="10"/>
  <c r="BA28" i="10"/>
  <c r="BD28" i="10"/>
  <c r="BB28" i="10"/>
  <c r="BE26" i="10"/>
  <c r="BC26" i="10"/>
  <c r="BA26" i="10"/>
  <c r="AU26" i="10"/>
  <c r="BD26" i="10"/>
  <c r="BB26" i="10"/>
  <c r="W30" i="10"/>
  <c r="AK30" i="10"/>
  <c r="BE18" i="10"/>
  <c r="BC18" i="10"/>
  <c r="BA18" i="10"/>
  <c r="AU18" i="10"/>
  <c r="BD18" i="10"/>
  <c r="BB18" i="10"/>
  <c r="BD14" i="10"/>
  <c r="BB14" i="10"/>
  <c r="AU14" i="10"/>
  <c r="BE14" i="10"/>
  <c r="BC14" i="10"/>
  <c r="BA14" i="10"/>
  <c r="AU16" i="10"/>
  <c r="BD16" i="10"/>
  <c r="BB16" i="10"/>
  <c r="BE16" i="10"/>
  <c r="BC16" i="10"/>
  <c r="BA16" i="10"/>
  <c r="AU27" i="10"/>
  <c r="BE27" i="10"/>
  <c r="BC27" i="10"/>
  <c r="BA27" i="10"/>
  <c r="BD27" i="10"/>
  <c r="BB27" i="10"/>
  <c r="BD24" i="10"/>
  <c r="BB24" i="10"/>
  <c r="AU24" i="10"/>
  <c r="BE24" i="10"/>
  <c r="BC24" i="10"/>
  <c r="BA24" i="10"/>
  <c r="BB21" i="10"/>
  <c r="AU21" i="10"/>
  <c r="BD21" i="10"/>
  <c r="BE21" i="10"/>
  <c r="BC21" i="10"/>
  <c r="BA21" i="10"/>
  <c r="F18" i="5" l="1"/>
  <c r="AU32" i="15"/>
  <c r="AU35" i="15" s="1"/>
  <c r="AL30" i="15"/>
  <c r="AK30" i="15"/>
  <c r="W30" i="15"/>
  <c r="D9" i="15"/>
  <c r="C10" i="15"/>
  <c r="F9" i="15"/>
  <c r="F30" i="15" s="1"/>
  <c r="BD28" i="26"/>
  <c r="BB28" i="26"/>
  <c r="AZ28" i="26"/>
  <c r="BA28" i="26"/>
  <c r="AU28" i="26"/>
  <c r="BC28" i="26"/>
  <c r="BE28" i="26"/>
  <c r="BE30" i="26" s="1"/>
  <c r="AW28" i="26"/>
  <c r="AX28" i="26" s="1"/>
  <c r="F10" i="26"/>
  <c r="D10" i="26"/>
  <c r="C11" i="26"/>
  <c r="F9" i="26"/>
  <c r="I9" i="26" s="1"/>
  <c r="AG16" i="26"/>
  <c r="T28" i="26"/>
  <c r="AG15" i="26"/>
  <c r="AG14" i="26"/>
  <c r="AG13" i="26"/>
  <c r="AG12" i="26"/>
  <c r="AG11" i="26"/>
  <c r="AG30" i="26" s="1"/>
  <c r="AG9" i="26"/>
  <c r="AG18" i="26"/>
  <c r="AK9" i="27"/>
  <c r="W30" i="27"/>
  <c r="AK9" i="16"/>
  <c r="W30" i="16"/>
  <c r="AU8" i="26"/>
  <c r="AW8" i="26"/>
  <c r="BB30" i="27"/>
  <c r="AZ30" i="27"/>
  <c r="BE30" i="27"/>
  <c r="BD30" i="27"/>
  <c r="AU30" i="27"/>
  <c r="BA30" i="27"/>
  <c r="BC30" i="27"/>
  <c r="AU33" i="27"/>
  <c r="AS30" i="27"/>
  <c r="AW8" i="27"/>
  <c r="AP30" i="27"/>
  <c r="AS8" i="16"/>
  <c r="BB8" i="13"/>
  <c r="BD8" i="13"/>
  <c r="BE8" i="13"/>
  <c r="AZ8" i="13"/>
  <c r="C11" i="13"/>
  <c r="D9" i="13"/>
  <c r="AG11" i="13"/>
  <c r="AG30" i="13" s="1"/>
  <c r="F10" i="13"/>
  <c r="I10" i="13" s="1"/>
  <c r="AG17" i="13"/>
  <c r="AW8" i="13"/>
  <c r="AX8" i="13" s="1"/>
  <c r="AP30" i="13"/>
  <c r="AR30" i="24"/>
  <c r="AS9" i="24"/>
  <c r="BD10" i="24"/>
  <c r="AU23" i="24"/>
  <c r="AU15" i="24"/>
  <c r="AZ25" i="24"/>
  <c r="AZ17" i="24"/>
  <c r="BA21" i="24"/>
  <c r="BA13" i="24"/>
  <c r="BB25" i="24"/>
  <c r="BB17" i="24"/>
  <c r="BC21" i="24"/>
  <c r="BC13" i="24"/>
  <c r="BD25" i="24"/>
  <c r="BD17" i="24"/>
  <c r="BE21" i="24"/>
  <c r="BE13" i="24"/>
  <c r="BE12" i="24"/>
  <c r="AU21" i="24"/>
  <c r="AU13" i="24"/>
  <c r="AZ23" i="24"/>
  <c r="AZ15" i="24"/>
  <c r="BA27" i="24"/>
  <c r="BA19" i="24"/>
  <c r="BA11" i="24"/>
  <c r="BB23" i="24"/>
  <c r="BB15" i="24"/>
  <c r="BC27" i="24"/>
  <c r="BC19" i="24"/>
  <c r="BC11" i="24"/>
  <c r="BE27" i="24"/>
  <c r="BE19" i="24"/>
  <c r="BE11" i="24"/>
  <c r="BC20" i="24"/>
  <c r="BC12" i="24"/>
  <c r="BE20" i="24"/>
  <c r="AU28" i="24"/>
  <c r="AU20" i="24"/>
  <c r="AU12" i="24"/>
  <c r="AZ22" i="24"/>
  <c r="AZ14" i="24"/>
  <c r="BA26" i="24"/>
  <c r="BA18" i="24"/>
  <c r="BA10" i="24"/>
  <c r="BB22" i="24"/>
  <c r="BB14" i="24"/>
  <c r="BC26" i="24"/>
  <c r="BC18" i="24"/>
  <c r="BC10" i="24"/>
  <c r="BE26" i="24"/>
  <c r="BE18" i="24"/>
  <c r="BE10" i="24"/>
  <c r="BA28" i="24"/>
  <c r="BA12" i="24"/>
  <c r="BC28" i="24"/>
  <c r="BE28" i="24"/>
  <c r="AZ21" i="24"/>
  <c r="AZ13" i="24"/>
  <c r="BA25" i="24"/>
  <c r="BA17" i="24"/>
  <c r="BB21" i="24"/>
  <c r="BB13" i="24"/>
  <c r="BC25" i="24"/>
  <c r="BC17" i="24"/>
  <c r="AZ28" i="24"/>
  <c r="AZ20" i="24"/>
  <c r="AZ12" i="24"/>
  <c r="BA24" i="24"/>
  <c r="BA16" i="24"/>
  <c r="BB28" i="24"/>
  <c r="BB20" i="24"/>
  <c r="BB12" i="24"/>
  <c r="BC24" i="24"/>
  <c r="BC16" i="24"/>
  <c r="BD20" i="24"/>
  <c r="AW8" i="24"/>
  <c r="AX8" i="24" s="1"/>
  <c r="AS30" i="24"/>
  <c r="AU33" i="24"/>
  <c r="AP30" i="24"/>
  <c r="W9" i="25"/>
  <c r="AK11" i="25"/>
  <c r="AL11" i="25" s="1"/>
  <c r="AK19" i="25"/>
  <c r="AL19" i="25" s="1"/>
  <c r="AK27" i="25"/>
  <c r="AL27" i="25" s="1"/>
  <c r="AK12" i="25"/>
  <c r="AL12" i="25" s="1"/>
  <c r="AK20" i="25"/>
  <c r="AL20" i="25" s="1"/>
  <c r="AK28" i="25"/>
  <c r="AL28" i="25" s="1"/>
  <c r="AK16" i="25"/>
  <c r="AL16" i="25" s="1"/>
  <c r="AK13" i="25"/>
  <c r="AL13" i="25" s="1"/>
  <c r="AK21" i="25"/>
  <c r="AL21" i="25" s="1"/>
  <c r="AK14" i="25"/>
  <c r="AL14" i="25" s="1"/>
  <c r="AK22" i="25"/>
  <c r="AL22" i="25" s="1"/>
  <c r="AK15" i="25"/>
  <c r="AL15" i="25" s="1"/>
  <c r="AK23" i="25"/>
  <c r="AL23" i="25" s="1"/>
  <c r="AK17" i="25"/>
  <c r="AK25" i="25"/>
  <c r="AL25" i="25" s="1"/>
  <c r="AK10" i="25"/>
  <c r="AL10" i="25" s="1"/>
  <c r="AK18" i="25"/>
  <c r="AL18" i="25" s="1"/>
  <c r="AK26" i="25"/>
  <c r="AL26" i="25" s="1"/>
  <c r="AK24" i="25"/>
  <c r="AL24" i="25" s="1"/>
  <c r="I30" i="25"/>
  <c r="AG30" i="25"/>
  <c r="AS8" i="25"/>
  <c r="AG11" i="14"/>
  <c r="AG30" i="14" s="1"/>
  <c r="BA8" i="14"/>
  <c r="BB8" i="14"/>
  <c r="AG17" i="14"/>
  <c r="AK17" i="14" s="1"/>
  <c r="BC8" i="14"/>
  <c r="BD8" i="14"/>
  <c r="BE8" i="14"/>
  <c r="F30" i="14"/>
  <c r="W9" i="14"/>
  <c r="AK25" i="14"/>
  <c r="AL25" i="14" s="1"/>
  <c r="AK10" i="14"/>
  <c r="AL10" i="14" s="1"/>
  <c r="AK18" i="14"/>
  <c r="AL18" i="14" s="1"/>
  <c r="AK26" i="14"/>
  <c r="AL26" i="14" s="1"/>
  <c r="AK11" i="14"/>
  <c r="AL11" i="14" s="1"/>
  <c r="AK19" i="14"/>
  <c r="AL19" i="14" s="1"/>
  <c r="AK27" i="14"/>
  <c r="AL27" i="14" s="1"/>
  <c r="AK12" i="14"/>
  <c r="AL12" i="14" s="1"/>
  <c r="AK20" i="14"/>
  <c r="AL20" i="14" s="1"/>
  <c r="AK28" i="14"/>
  <c r="AL28" i="14" s="1"/>
  <c r="AK13" i="14"/>
  <c r="AL13" i="14" s="1"/>
  <c r="AK21" i="14"/>
  <c r="AL21" i="14" s="1"/>
  <c r="AK23" i="14"/>
  <c r="AL23" i="14" s="1"/>
  <c r="AK24" i="14"/>
  <c r="AL24" i="14" s="1"/>
  <c r="AK14" i="14"/>
  <c r="AL14" i="14" s="1"/>
  <c r="AK22" i="14"/>
  <c r="AL22" i="14" s="1"/>
  <c r="AK15" i="14"/>
  <c r="AL15" i="14" s="1"/>
  <c r="AK16" i="14"/>
  <c r="AL16" i="14" s="1"/>
  <c r="I30" i="14"/>
  <c r="AW8" i="14"/>
  <c r="AX8" i="14" s="1"/>
  <c r="AP30" i="14"/>
  <c r="AW8" i="11"/>
  <c r="AX8" i="11" s="1"/>
  <c r="AG14" i="11"/>
  <c r="AK14" i="11" s="1"/>
  <c r="AL14" i="11" s="1"/>
  <c r="BD8" i="11"/>
  <c r="AG13" i="11"/>
  <c r="AU8" i="11"/>
  <c r="AG12" i="11"/>
  <c r="AK12" i="11" s="1"/>
  <c r="AL12" i="11" s="1"/>
  <c r="AG11" i="11"/>
  <c r="AK11" i="11" s="1"/>
  <c r="AL11" i="11" s="1"/>
  <c r="AZ8" i="11"/>
  <c r="AG18" i="11"/>
  <c r="BA8" i="11"/>
  <c r="W9" i="11"/>
  <c r="AK10" i="11"/>
  <c r="AL10" i="11" s="1"/>
  <c r="AK18" i="11"/>
  <c r="AL18" i="11" s="1"/>
  <c r="AK26" i="11"/>
  <c r="AL26" i="11" s="1"/>
  <c r="AK17" i="11"/>
  <c r="AK19" i="11"/>
  <c r="AL19" i="11" s="1"/>
  <c r="AK27" i="11"/>
  <c r="AL27" i="11" s="1"/>
  <c r="AK25" i="11"/>
  <c r="AL25" i="11" s="1"/>
  <c r="AK20" i="11"/>
  <c r="AL20" i="11" s="1"/>
  <c r="AK28" i="11"/>
  <c r="AL28" i="11" s="1"/>
  <c r="AK13" i="11"/>
  <c r="AL13" i="11" s="1"/>
  <c r="AK21" i="11"/>
  <c r="AL21" i="11" s="1"/>
  <c r="AK22" i="11"/>
  <c r="AL22" i="11" s="1"/>
  <c r="AK15" i="11"/>
  <c r="AL15" i="11" s="1"/>
  <c r="AK23" i="11"/>
  <c r="AL23" i="11" s="1"/>
  <c r="AK16" i="11"/>
  <c r="AL16" i="11" s="1"/>
  <c r="AK24" i="11"/>
  <c r="AL24" i="11" s="1"/>
  <c r="F30" i="11"/>
  <c r="I30" i="11"/>
  <c r="AG16" i="22"/>
  <c r="AK16" i="22" s="1"/>
  <c r="AL16" i="22" s="1"/>
  <c r="AU8" i="22"/>
  <c r="AP30" i="22"/>
  <c r="AG14" i="22"/>
  <c r="AK14" i="22" s="1"/>
  <c r="AL14" i="22" s="1"/>
  <c r="AZ8" i="22"/>
  <c r="BA8" i="22"/>
  <c r="BB8" i="22"/>
  <c r="BC8" i="22"/>
  <c r="I30" i="22"/>
  <c r="AO9" i="22"/>
  <c r="W30" i="22"/>
  <c r="AG30" i="22"/>
  <c r="AW8" i="22"/>
  <c r="AX8" i="22" s="1"/>
  <c r="AG16" i="23"/>
  <c r="AK16" i="23" s="1"/>
  <c r="AL16" i="23" s="1"/>
  <c r="BE8" i="23"/>
  <c r="AG15" i="23"/>
  <c r="AK15" i="23" s="1"/>
  <c r="AL15" i="23" s="1"/>
  <c r="AU8" i="23"/>
  <c r="AG14" i="23"/>
  <c r="AK14" i="23" s="1"/>
  <c r="AL14" i="23" s="1"/>
  <c r="AR9" i="23" a="1"/>
  <c r="AR9" i="23" s="1"/>
  <c r="AR30" i="23" s="1"/>
  <c r="AZ8" i="23"/>
  <c r="AK17" i="23"/>
  <c r="AL17" i="23" s="1"/>
  <c r="BA8" i="23"/>
  <c r="BB8" i="23"/>
  <c r="AO9" i="23"/>
  <c r="W30" i="23"/>
  <c r="AW8" i="23"/>
  <c r="AX8" i="23" s="1"/>
  <c r="AP30" i="23"/>
  <c r="AG15" i="12"/>
  <c r="AK15" i="12" s="1"/>
  <c r="AL15" i="12" s="1"/>
  <c r="AZ8" i="12"/>
  <c r="BB8" i="12"/>
  <c r="AG12" i="12"/>
  <c r="AK12" i="12" s="1"/>
  <c r="AL12" i="12" s="1"/>
  <c r="BC8" i="12"/>
  <c r="AG11" i="12"/>
  <c r="BD8" i="12"/>
  <c r="AG18" i="12"/>
  <c r="BE8" i="12"/>
  <c r="F30" i="23"/>
  <c r="AO9" i="12"/>
  <c r="AK21" i="12"/>
  <c r="AL21" i="12" s="1"/>
  <c r="AK13" i="12"/>
  <c r="AL13" i="12" s="1"/>
  <c r="AK28" i="12"/>
  <c r="AL28" i="12" s="1"/>
  <c r="AK20" i="12"/>
  <c r="AL20" i="12" s="1"/>
  <c r="AK27" i="12"/>
  <c r="AL27" i="12" s="1"/>
  <c r="AK19" i="12"/>
  <c r="AL19" i="12" s="1"/>
  <c r="AK11" i="12"/>
  <c r="AL11" i="12" s="1"/>
  <c r="AK26" i="12"/>
  <c r="AL26" i="12" s="1"/>
  <c r="AK18" i="12"/>
  <c r="AL18" i="12" s="1"/>
  <c r="AK10" i="12"/>
  <c r="AL10" i="12" s="1"/>
  <c r="AK25" i="12"/>
  <c r="AL25" i="12" s="1"/>
  <c r="AK17" i="12"/>
  <c r="AK24" i="12"/>
  <c r="AL24" i="12" s="1"/>
  <c r="AK16" i="12"/>
  <c r="AL16" i="12" s="1"/>
  <c r="AU8" i="20"/>
  <c r="AG10" i="20"/>
  <c r="AG30" i="20" s="1"/>
  <c r="AZ8" i="20"/>
  <c r="BA8" i="20"/>
  <c r="BB8" i="20"/>
  <c r="AK25" i="20"/>
  <c r="AL25" i="20" s="1"/>
  <c r="AK17" i="20"/>
  <c r="AK24" i="20"/>
  <c r="AL24" i="20" s="1"/>
  <c r="AK16" i="20"/>
  <c r="AL16" i="20" s="1"/>
  <c r="AK22" i="20"/>
  <c r="AL22" i="20" s="1"/>
  <c r="AK14" i="20"/>
  <c r="AL14" i="20" s="1"/>
  <c r="AO9" i="20" a="1"/>
  <c r="AO9" i="20" s="1"/>
  <c r="AO30" i="20" s="1"/>
  <c r="AK21" i="20"/>
  <c r="AL21" i="20" s="1"/>
  <c r="AK13" i="20"/>
  <c r="AL13" i="20" s="1"/>
  <c r="AK28" i="20"/>
  <c r="AL28" i="20" s="1"/>
  <c r="AK20" i="20"/>
  <c r="AL20" i="20" s="1"/>
  <c r="AK12" i="20"/>
  <c r="AL12" i="20" s="1"/>
  <c r="AK27" i="20"/>
  <c r="AL27" i="20" s="1"/>
  <c r="AK19" i="20"/>
  <c r="AL19" i="20" s="1"/>
  <c r="AK11" i="20"/>
  <c r="AL11" i="20" s="1"/>
  <c r="AK26" i="20"/>
  <c r="AL26" i="20" s="1"/>
  <c r="AK18" i="20"/>
  <c r="AL18" i="20" s="1"/>
  <c r="AW8" i="20"/>
  <c r="AX8" i="20" s="1"/>
  <c r="BC25" i="21"/>
  <c r="BE25" i="21"/>
  <c r="BA25" i="21"/>
  <c r="BD25" i="21"/>
  <c r="BB25" i="21"/>
  <c r="AU25" i="21"/>
  <c r="AZ25" i="21"/>
  <c r="BE21" i="21"/>
  <c r="BB21" i="21"/>
  <c r="BC21" i="21"/>
  <c r="BA21" i="21"/>
  <c r="AU21" i="21"/>
  <c r="BD21" i="21"/>
  <c r="AZ21" i="21"/>
  <c r="BA17" i="21"/>
  <c r="BE17" i="21"/>
  <c r="BC17" i="21"/>
  <c r="AU17" i="21"/>
  <c r="BD17" i="21"/>
  <c r="BB17" i="21"/>
  <c r="AZ17" i="21"/>
  <c r="BC13" i="21"/>
  <c r="BE13" i="21"/>
  <c r="BA13" i="21"/>
  <c r="AU13" i="21"/>
  <c r="BD13" i="21"/>
  <c r="BB13" i="21"/>
  <c r="AZ13" i="21"/>
  <c r="AU12" i="21"/>
  <c r="BC12" i="21"/>
  <c r="BD12" i="21"/>
  <c r="BA12" i="21"/>
  <c r="BB12" i="21"/>
  <c r="AZ12" i="21"/>
  <c r="BE12" i="21"/>
  <c r="AZ11" i="21"/>
  <c r="BE11" i="21"/>
  <c r="BD11" i="21"/>
  <c r="BB11" i="21"/>
  <c r="BC11" i="21"/>
  <c r="BA11" i="21"/>
  <c r="AU11" i="21"/>
  <c r="BA28" i="21"/>
  <c r="BD28" i="21"/>
  <c r="BE28" i="21"/>
  <c r="BB28" i="21"/>
  <c r="AZ28" i="21"/>
  <c r="AU28" i="21"/>
  <c r="BC28" i="21"/>
  <c r="BE20" i="21"/>
  <c r="AZ20" i="21"/>
  <c r="BC20" i="21"/>
  <c r="BA20" i="21"/>
  <c r="AU20" i="21"/>
  <c r="BD20" i="21"/>
  <c r="BB20" i="21"/>
  <c r="AU16" i="21"/>
  <c r="BD16" i="21"/>
  <c r="BB16" i="21"/>
  <c r="BA16" i="21"/>
  <c r="AZ16" i="21"/>
  <c r="BE16" i="21"/>
  <c r="BC16" i="21"/>
  <c r="BB27" i="21"/>
  <c r="BD27" i="21"/>
  <c r="AZ27" i="21"/>
  <c r="AU27" i="21"/>
  <c r="BE27" i="21"/>
  <c r="BA27" i="21"/>
  <c r="BC27" i="21"/>
  <c r="BB23" i="21"/>
  <c r="BA23" i="21"/>
  <c r="BD23" i="21"/>
  <c r="AU23" i="21"/>
  <c r="AZ23" i="21"/>
  <c r="BE23" i="21"/>
  <c r="BC23" i="21"/>
  <c r="BD19" i="21"/>
  <c r="BB19" i="21"/>
  <c r="AU19" i="21"/>
  <c r="AZ19" i="21"/>
  <c r="BE19" i="21"/>
  <c r="BC19" i="21"/>
  <c r="BA19" i="21"/>
  <c r="BA15" i="21"/>
  <c r="AU15" i="21"/>
  <c r="BD15" i="21"/>
  <c r="BC15" i="21"/>
  <c r="BB15" i="21"/>
  <c r="AZ15" i="21"/>
  <c r="BE15" i="21"/>
  <c r="BC24" i="21"/>
  <c r="AU24" i="21"/>
  <c r="BD24" i="21"/>
  <c r="BA24" i="21"/>
  <c r="BB24" i="21"/>
  <c r="AZ24" i="21"/>
  <c r="BE24" i="21"/>
  <c r="BE22" i="21"/>
  <c r="BC22" i="21"/>
  <c r="BA22" i="21"/>
  <c r="AZ22" i="21"/>
  <c r="AU22" i="21"/>
  <c r="BB22" i="21"/>
  <c r="BD22" i="21"/>
  <c r="BC14" i="21"/>
  <c r="AZ14" i="21"/>
  <c r="BA14" i="21"/>
  <c r="BD14" i="21"/>
  <c r="BE14" i="21"/>
  <c r="BB14" i="21"/>
  <c r="AU14" i="21"/>
  <c r="AU8" i="21"/>
  <c r="BE8" i="21"/>
  <c r="AZ8" i="21"/>
  <c r="BC8" i="21"/>
  <c r="BA8" i="21"/>
  <c r="AW8" i="21"/>
  <c r="AX8" i="21" s="1"/>
  <c r="BD8" i="21"/>
  <c r="BB8" i="21"/>
  <c r="AZ10" i="21"/>
  <c r="BD10" i="21"/>
  <c r="BA10" i="21"/>
  <c r="BC10" i="21"/>
  <c r="BE10" i="21"/>
  <c r="BB10" i="21"/>
  <c r="AU10" i="21"/>
  <c r="BD26" i="21"/>
  <c r="BA26" i="21"/>
  <c r="BB26" i="21"/>
  <c r="AZ26" i="21"/>
  <c r="BE26" i="21"/>
  <c r="BC26" i="21"/>
  <c r="AU26" i="21"/>
  <c r="BB18" i="21"/>
  <c r="AZ18" i="21"/>
  <c r="AU18" i="21"/>
  <c r="BE18" i="21"/>
  <c r="BD18" i="21"/>
  <c r="BA18" i="21"/>
  <c r="BC18" i="21"/>
  <c r="I30" i="21"/>
  <c r="AU33" i="9"/>
  <c r="AS9" i="10"/>
  <c r="AR30" i="10"/>
  <c r="AL30" i="10"/>
  <c r="AL20" i="2"/>
  <c r="AR20" i="2"/>
  <c r="D18" i="3" s="1"/>
  <c r="U19" i="2"/>
  <c r="T23" i="2"/>
  <c r="AH23" i="2"/>
  <c r="AK23" i="2" s="1"/>
  <c r="AL23" i="2" s="1"/>
  <c r="AQ23" i="2"/>
  <c r="C21" i="3" s="1"/>
  <c r="P30" i="2"/>
  <c r="AR21" i="2"/>
  <c r="D19" i="3" s="1"/>
  <c r="AL21" i="2"/>
  <c r="AH11" i="2"/>
  <c r="AK11" i="2" s="1"/>
  <c r="AR11" i="2" s="1"/>
  <c r="D9" i="3" s="1"/>
  <c r="AQ11" i="2"/>
  <c r="C9" i="3" s="1"/>
  <c r="AH19" i="2"/>
  <c r="AK19" i="2" s="1"/>
  <c r="AL19" i="2" s="1"/>
  <c r="T11" i="2"/>
  <c r="U11" i="2"/>
  <c r="AH27" i="2"/>
  <c r="AK27" i="2" s="1"/>
  <c r="AR27" i="2" s="1"/>
  <c r="D25" i="3" s="1"/>
  <c r="AQ19" i="2"/>
  <c r="C17" i="3" s="1"/>
  <c r="T19" i="2"/>
  <c r="AQ27" i="2"/>
  <c r="C25" i="3" s="1"/>
  <c r="AL15" i="2"/>
  <c r="T25" i="2"/>
  <c r="AL11" i="2"/>
  <c r="AL10" i="2"/>
  <c r="AR10" i="2"/>
  <c r="D8" i="3" s="1"/>
  <c r="AR26" i="2"/>
  <c r="D24" i="3" s="1"/>
  <c r="AL26" i="2"/>
  <c r="AQ17" i="2"/>
  <c r="C15" i="3" s="1"/>
  <c r="AS20" i="2"/>
  <c r="BA20" i="2" s="1"/>
  <c r="AR24" i="2"/>
  <c r="D22" i="3" s="1"/>
  <c r="AS16" i="2"/>
  <c r="AZ16" i="2" s="1"/>
  <c r="AQ25" i="2"/>
  <c r="C23" i="3" s="1"/>
  <c r="T17" i="2"/>
  <c r="AR13" i="2"/>
  <c r="D11" i="3" s="1"/>
  <c r="AS15" i="2"/>
  <c r="AL14" i="2"/>
  <c r="AR14" i="2"/>
  <c r="D12" i="3" s="1"/>
  <c r="AR12" i="2"/>
  <c r="D10" i="3" s="1"/>
  <c r="AL12" i="2"/>
  <c r="AL18" i="2"/>
  <c r="AR18" i="2"/>
  <c r="AR28" i="2"/>
  <c r="D26" i="3" s="1"/>
  <c r="AL28" i="2"/>
  <c r="AH25" i="2"/>
  <c r="AK25" i="2" s="1"/>
  <c r="C11" i="3"/>
  <c r="M30" i="2"/>
  <c r="U25" i="2"/>
  <c r="U17" i="2"/>
  <c r="U30" i="2" s="1"/>
  <c r="AR22" i="2"/>
  <c r="D20" i="3" s="1"/>
  <c r="AH17" i="2"/>
  <c r="AL9" i="2"/>
  <c r="BF6" i="2" s="1"/>
  <c r="AR9" i="2"/>
  <c r="D7" i="3" s="1"/>
  <c r="C7" i="3"/>
  <c r="C26" i="3"/>
  <c r="U9" i="21"/>
  <c r="AQ9" i="21" s="1"/>
  <c r="M30" i="21"/>
  <c r="F24" i="5"/>
  <c r="C35" i="5"/>
  <c r="AU32" i="9"/>
  <c r="AU35" i="9" s="1"/>
  <c r="C11" i="15" l="1"/>
  <c r="D10" i="15"/>
  <c r="G9" i="15"/>
  <c r="G30" i="15" s="1"/>
  <c r="W9" i="26"/>
  <c r="AI9" i="26"/>
  <c r="AJ9" i="26" s="1"/>
  <c r="AK9" i="26" s="1"/>
  <c r="AL9" i="26" s="1"/>
  <c r="D11" i="26"/>
  <c r="G11" i="26" s="1"/>
  <c r="F11" i="26"/>
  <c r="C12" i="26"/>
  <c r="G10" i="26"/>
  <c r="AK30" i="27"/>
  <c r="AL9" i="27"/>
  <c r="AL30" i="27" s="1"/>
  <c r="AK30" i="16"/>
  <c r="AL9" i="16"/>
  <c r="AL30" i="16" s="1"/>
  <c r="AW9" i="26"/>
  <c r="AX8" i="26"/>
  <c r="C18" i="5"/>
  <c r="AU32" i="27"/>
  <c r="AU35" i="27" s="1"/>
  <c r="AW9" i="27"/>
  <c r="AX8" i="27"/>
  <c r="AX30" i="27" s="1"/>
  <c r="AU34" i="27" s="1"/>
  <c r="AU30" i="16"/>
  <c r="BD30" i="16"/>
  <c r="AU33" i="16"/>
  <c r="BE30" i="16"/>
  <c r="BA30" i="16"/>
  <c r="BC30" i="16"/>
  <c r="AW8" i="16"/>
  <c r="AZ30" i="16"/>
  <c r="AS30" i="16"/>
  <c r="I9" i="13"/>
  <c r="D11" i="13"/>
  <c r="G11" i="13" s="1"/>
  <c r="C12" i="13"/>
  <c r="F11" i="13"/>
  <c r="I11" i="13" s="1"/>
  <c r="AU9" i="24"/>
  <c r="AU30" i="24" s="1"/>
  <c r="AU32" i="24" s="1"/>
  <c r="AU35" i="24" s="1"/>
  <c r="AW9" i="24"/>
  <c r="BE9" i="24"/>
  <c r="BE30" i="24" s="1"/>
  <c r="BC9" i="24"/>
  <c r="BC30" i="24" s="1"/>
  <c r="BA9" i="24"/>
  <c r="BA30" i="24" s="1"/>
  <c r="BD9" i="24"/>
  <c r="BD30" i="24" s="1"/>
  <c r="BB9" i="24"/>
  <c r="BB30" i="24" s="1"/>
  <c r="AZ9" i="24"/>
  <c r="AZ30" i="24" s="1"/>
  <c r="BC8" i="25"/>
  <c r="BB8" i="25"/>
  <c r="BD8" i="25"/>
  <c r="BA8" i="25"/>
  <c r="AZ8" i="25"/>
  <c r="AU8" i="25"/>
  <c r="BE8" i="25"/>
  <c r="E14" i="5"/>
  <c r="AL17" i="25"/>
  <c r="W30" i="25"/>
  <c r="AO9" i="25" a="1"/>
  <c r="AW8" i="25"/>
  <c r="AX8" i="25" s="1"/>
  <c r="AL17" i="14"/>
  <c r="W30" i="14"/>
  <c r="AR9" i="14" a="1"/>
  <c r="AR9" i="14" s="1"/>
  <c r="AR30" i="14" s="1"/>
  <c r="AO9" i="14" a="1"/>
  <c r="AG30" i="11"/>
  <c r="AL17" i="11"/>
  <c r="W30" i="11"/>
  <c r="AO9" i="11" a="1"/>
  <c r="AR9" i="11" a="1"/>
  <c r="AR9" i="11" s="1"/>
  <c r="AR30" i="11" s="1"/>
  <c r="AK30" i="22"/>
  <c r="AL30" i="22"/>
  <c r="AR9" i="22" a="1"/>
  <c r="AO30" i="22"/>
  <c r="AG30" i="23"/>
  <c r="AS16" i="23"/>
  <c r="AS26" i="23"/>
  <c r="AS23" i="23"/>
  <c r="AS18" i="23"/>
  <c r="AS15" i="23"/>
  <c r="AK30" i="23"/>
  <c r="AL30" i="23"/>
  <c r="AS22" i="23"/>
  <c r="AS28" i="23"/>
  <c r="AS12" i="23"/>
  <c r="AS14" i="23"/>
  <c r="AS27" i="23"/>
  <c r="AS25" i="23"/>
  <c r="AS21" i="23"/>
  <c r="AS20" i="23"/>
  <c r="AS10" i="23"/>
  <c r="AS19" i="23"/>
  <c r="AS17" i="23"/>
  <c r="AS13" i="23"/>
  <c r="AS11" i="23"/>
  <c r="AS24" i="23"/>
  <c r="AO30" i="23"/>
  <c r="AS9" i="23"/>
  <c r="AG30" i="12"/>
  <c r="AK30" i="12"/>
  <c r="AL17" i="12"/>
  <c r="AL30" i="12" s="1"/>
  <c r="AO30" i="12"/>
  <c r="AK10" i="20"/>
  <c r="AL10" i="20" s="1"/>
  <c r="AK30" i="20"/>
  <c r="AL17" i="20"/>
  <c r="AL30" i="20" s="1"/>
  <c r="AZ30" i="10"/>
  <c r="AU9" i="10"/>
  <c r="AU30" i="10" s="1"/>
  <c r="BE9" i="10"/>
  <c r="BE30" i="10" s="1"/>
  <c r="BD9" i="10"/>
  <c r="BD30" i="10" s="1"/>
  <c r="BA9" i="10"/>
  <c r="BA30" i="10" s="1"/>
  <c r="BB9" i="10"/>
  <c r="BB30" i="10" s="1"/>
  <c r="AS30" i="10"/>
  <c r="AU33" i="10"/>
  <c r="BC9" i="10"/>
  <c r="BC30" i="10" s="1"/>
  <c r="AR19" i="2"/>
  <c r="D17" i="3" s="1"/>
  <c r="AR23" i="2"/>
  <c r="D21" i="3" s="1"/>
  <c r="BE20" i="2"/>
  <c r="AZ20" i="2"/>
  <c r="AS21" i="2"/>
  <c r="BC21" i="2" s="1"/>
  <c r="AS19" i="2"/>
  <c r="BB19" i="2" s="1"/>
  <c r="AS26" i="2"/>
  <c r="BE26" i="2" s="1"/>
  <c r="AS24" i="2"/>
  <c r="BD24" i="2" s="1"/>
  <c r="BA19" i="2"/>
  <c r="M9" i="12" a="1"/>
  <c r="P30" i="12" s="1"/>
  <c r="M9" i="22" a="1"/>
  <c r="O30" i="22" s="1"/>
  <c r="BB16" i="2"/>
  <c r="E22" i="3"/>
  <c r="M9" i="20" a="1"/>
  <c r="N30" i="20" s="1"/>
  <c r="AS27" i="2"/>
  <c r="AZ27" i="2" s="1"/>
  <c r="BE24" i="2"/>
  <c r="AS11" i="2"/>
  <c r="BA11" i="2" s="1"/>
  <c r="AL27" i="2"/>
  <c r="AS28" i="2"/>
  <c r="AU28" i="2" s="1"/>
  <c r="BD20" i="2"/>
  <c r="AS22" i="2"/>
  <c r="BC22" i="2" s="1"/>
  <c r="BC20" i="2"/>
  <c r="BB20" i="2"/>
  <c r="M9" i="25" a="1"/>
  <c r="R30" i="25" s="1"/>
  <c r="BC24" i="2"/>
  <c r="AS10" i="2"/>
  <c r="AZ10" i="2" s="1"/>
  <c r="AS14" i="2"/>
  <c r="BD14" i="2" s="1"/>
  <c r="E18" i="3"/>
  <c r="M9" i="11" a="1"/>
  <c r="Q30" i="11" s="1"/>
  <c r="M9" i="14" a="1"/>
  <c r="N30" i="14" s="1"/>
  <c r="BC19" i="2"/>
  <c r="BE16" i="2"/>
  <c r="AU19" i="2"/>
  <c r="G17" i="3" s="1"/>
  <c r="BD16" i="2"/>
  <c r="AU16" i="2"/>
  <c r="G14" i="3" s="1"/>
  <c r="BA16" i="2"/>
  <c r="AQ30" i="2"/>
  <c r="AZ19" i="2"/>
  <c r="E14" i="3"/>
  <c r="AU20" i="2"/>
  <c r="G18" i="3" s="1"/>
  <c r="BC16" i="2"/>
  <c r="AS12" i="2"/>
  <c r="AZ12" i="2" s="1"/>
  <c r="AS13" i="2"/>
  <c r="AS9" i="2"/>
  <c r="BA9" i="2" s="1"/>
  <c r="AR25" i="2"/>
  <c r="AL25" i="2"/>
  <c r="BE21" i="2"/>
  <c r="AU21" i="2"/>
  <c r="G19" i="3" s="1"/>
  <c r="E19" i="3"/>
  <c r="AZ21" i="2"/>
  <c r="BD21" i="2"/>
  <c r="BB21" i="2"/>
  <c r="BA21" i="2"/>
  <c r="AU26" i="2"/>
  <c r="G24" i="3" s="1"/>
  <c r="AK17" i="2"/>
  <c r="AH30" i="2"/>
  <c r="AZ22" i="2"/>
  <c r="D16" i="3"/>
  <c r="AS18" i="2"/>
  <c r="BC15" i="2"/>
  <c r="E13" i="3"/>
  <c r="BE15" i="2"/>
  <c r="BA15" i="2"/>
  <c r="AU15" i="2"/>
  <c r="G13" i="3" s="1"/>
  <c r="BD15" i="2"/>
  <c r="BB15" i="2"/>
  <c r="AZ15" i="2"/>
  <c r="BA28" i="2"/>
  <c r="BC28" i="2"/>
  <c r="E26" i="3"/>
  <c r="BD28" i="2"/>
  <c r="AZ28" i="2"/>
  <c r="AH9" i="21"/>
  <c r="U30" i="21"/>
  <c r="AQ30" i="21"/>
  <c r="AH30" i="21"/>
  <c r="C12" i="15" l="1"/>
  <c r="D11" i="15"/>
  <c r="I11" i="26"/>
  <c r="D12" i="26"/>
  <c r="G12" i="26" s="1"/>
  <c r="C13" i="26"/>
  <c r="F12" i="26"/>
  <c r="I12" i="26" s="1"/>
  <c r="I10" i="26"/>
  <c r="E24" i="5"/>
  <c r="B38" i="5"/>
  <c r="AW9" i="16"/>
  <c r="AX8" i="16"/>
  <c r="AX30" i="16" s="1"/>
  <c r="AU34" i="16" s="1"/>
  <c r="B18" i="5"/>
  <c r="AU32" i="16"/>
  <c r="AU35" i="16" s="1"/>
  <c r="C13" i="13"/>
  <c r="D12" i="13"/>
  <c r="F12" i="13"/>
  <c r="AX9" i="24"/>
  <c r="AW10" i="24"/>
  <c r="AK30" i="25"/>
  <c r="C37" i="5"/>
  <c r="H24" i="5"/>
  <c r="AL30" i="25"/>
  <c r="AR9" i="25" a="1"/>
  <c r="AR9" i="25" s="1"/>
  <c r="AR30" i="25" s="1"/>
  <c r="AO9" i="25"/>
  <c r="AO9" i="14"/>
  <c r="AS13" i="14"/>
  <c r="AS21" i="14"/>
  <c r="AS14" i="14"/>
  <c r="AS22" i="14"/>
  <c r="AS15" i="14"/>
  <c r="AS23" i="14"/>
  <c r="AS27" i="14"/>
  <c r="AS16" i="14"/>
  <c r="AS24" i="14"/>
  <c r="AS17" i="14"/>
  <c r="AS25" i="14"/>
  <c r="AS11" i="14"/>
  <c r="AS12" i="14"/>
  <c r="AS28" i="14"/>
  <c r="AS10" i="14"/>
  <c r="AS18" i="14"/>
  <c r="AS26" i="14"/>
  <c r="AS19" i="14"/>
  <c r="AS20" i="14"/>
  <c r="AL30" i="14"/>
  <c r="AK30" i="14"/>
  <c r="AO9" i="11"/>
  <c r="AS13" i="11"/>
  <c r="AS21" i="11"/>
  <c r="AS14" i="11"/>
  <c r="AS22" i="11"/>
  <c r="AS28" i="11"/>
  <c r="AS15" i="11"/>
  <c r="AS23" i="11"/>
  <c r="AS16" i="11"/>
  <c r="AS24" i="11"/>
  <c r="AS17" i="11"/>
  <c r="AS25" i="11"/>
  <c r="AS20" i="11"/>
  <c r="AS10" i="11"/>
  <c r="AS18" i="11"/>
  <c r="AS26" i="11"/>
  <c r="AS12" i="11"/>
  <c r="AS11" i="11"/>
  <c r="AS19" i="11"/>
  <c r="AS27" i="11"/>
  <c r="AL30" i="11"/>
  <c r="AK30" i="11"/>
  <c r="AR9" i="22"/>
  <c r="AS18" i="22"/>
  <c r="AS28" i="22"/>
  <c r="AS14" i="22"/>
  <c r="AS11" i="22"/>
  <c r="AS13" i="22"/>
  <c r="AS24" i="22"/>
  <c r="AS22" i="22"/>
  <c r="AS17" i="22"/>
  <c r="AS21" i="22"/>
  <c r="AS20" i="22"/>
  <c r="AS27" i="22"/>
  <c r="AS25" i="22"/>
  <c r="AS19" i="22"/>
  <c r="AS16" i="22"/>
  <c r="AS15" i="22"/>
  <c r="AS10" i="22"/>
  <c r="AS12" i="22"/>
  <c r="AS23" i="22"/>
  <c r="AS26" i="22"/>
  <c r="BB9" i="23"/>
  <c r="BE9" i="23"/>
  <c r="AZ9" i="23"/>
  <c r="AU9" i="23"/>
  <c r="BC9" i="23"/>
  <c r="BA9" i="23"/>
  <c r="BD9" i="23"/>
  <c r="AU33" i="23"/>
  <c r="AS30" i="23"/>
  <c r="BA20" i="23"/>
  <c r="BD20" i="23"/>
  <c r="AU20" i="23"/>
  <c r="BB20" i="23"/>
  <c r="BE20" i="23"/>
  <c r="AZ20" i="23"/>
  <c r="BC20" i="23"/>
  <c r="BE24" i="23"/>
  <c r="AZ24" i="23"/>
  <c r="BB24" i="23"/>
  <c r="BC24" i="23"/>
  <c r="BA24" i="23"/>
  <c r="BD24" i="23"/>
  <c r="AU24" i="23"/>
  <c r="BA21" i="23"/>
  <c r="BC21" i="23"/>
  <c r="BD21" i="23"/>
  <c r="AU21" i="23"/>
  <c r="BB21" i="23"/>
  <c r="BE21" i="23"/>
  <c r="AZ21" i="23"/>
  <c r="BD19" i="23"/>
  <c r="AU19" i="23"/>
  <c r="BB19" i="23"/>
  <c r="BE19" i="23"/>
  <c r="AZ19" i="23"/>
  <c r="BC19" i="23"/>
  <c r="BA19" i="23"/>
  <c r="BC22" i="23"/>
  <c r="AZ22" i="23"/>
  <c r="BA22" i="23"/>
  <c r="BD22" i="23"/>
  <c r="AU22" i="23"/>
  <c r="BB22" i="23"/>
  <c r="BE22" i="23"/>
  <c r="BB25" i="23"/>
  <c r="BE25" i="23"/>
  <c r="AU25" i="23"/>
  <c r="AZ25" i="23"/>
  <c r="BC25" i="23"/>
  <c r="BA25" i="23"/>
  <c r="BD25" i="23"/>
  <c r="BD27" i="23"/>
  <c r="AU27" i="23"/>
  <c r="BA27" i="23"/>
  <c r="BB27" i="23"/>
  <c r="BE27" i="23"/>
  <c r="AZ27" i="23"/>
  <c r="BC27" i="23"/>
  <c r="AU18" i="23"/>
  <c r="BB18" i="23"/>
  <c r="BE18" i="23"/>
  <c r="BD18" i="23"/>
  <c r="AZ18" i="23"/>
  <c r="BC18" i="23"/>
  <c r="BA18" i="23"/>
  <c r="BA28" i="23"/>
  <c r="BD28" i="23"/>
  <c r="AU28" i="23"/>
  <c r="BB28" i="23"/>
  <c r="BE28" i="23"/>
  <c r="AZ28" i="23"/>
  <c r="BC28" i="23"/>
  <c r="AU10" i="23"/>
  <c r="BB10" i="23"/>
  <c r="BE10" i="23"/>
  <c r="AZ10" i="23"/>
  <c r="BC10" i="23"/>
  <c r="BD10" i="23"/>
  <c r="BA10" i="23"/>
  <c r="BD11" i="23"/>
  <c r="AU11" i="23"/>
  <c r="BB11" i="23"/>
  <c r="BE11" i="23"/>
  <c r="AZ11" i="23"/>
  <c r="BC11" i="23"/>
  <c r="BA11" i="23"/>
  <c r="AZ15" i="23"/>
  <c r="BC15" i="23"/>
  <c r="BA15" i="23"/>
  <c r="BD15" i="23"/>
  <c r="AU15" i="23"/>
  <c r="BB15" i="23"/>
  <c r="BE15" i="23"/>
  <c r="BC13" i="23"/>
  <c r="BA13" i="23"/>
  <c r="BD13" i="23"/>
  <c r="AU13" i="23"/>
  <c r="BB13" i="23"/>
  <c r="BE13" i="23"/>
  <c r="AZ13" i="23"/>
  <c r="BC14" i="23"/>
  <c r="BA14" i="23"/>
  <c r="BD14" i="23"/>
  <c r="AU14" i="23"/>
  <c r="BB14" i="23"/>
  <c r="BE14" i="23"/>
  <c r="AZ14" i="23"/>
  <c r="AZ23" i="23"/>
  <c r="BC23" i="23"/>
  <c r="BA23" i="23"/>
  <c r="BD23" i="23"/>
  <c r="AU23" i="23"/>
  <c r="BE23" i="23"/>
  <c r="BB23" i="23"/>
  <c r="BB17" i="23"/>
  <c r="BE17" i="23"/>
  <c r="AZ17" i="23"/>
  <c r="BC17" i="23"/>
  <c r="BA17" i="23"/>
  <c r="BD17" i="23"/>
  <c r="AU17" i="23"/>
  <c r="BA12" i="23"/>
  <c r="BD12" i="23"/>
  <c r="AU12" i="23"/>
  <c r="BB12" i="23"/>
  <c r="BE12" i="23"/>
  <c r="AZ12" i="23"/>
  <c r="BC12" i="23"/>
  <c r="AU26" i="23"/>
  <c r="BB26" i="23"/>
  <c r="BE26" i="23"/>
  <c r="AZ26" i="23"/>
  <c r="BD26" i="23"/>
  <c r="BC26" i="23"/>
  <c r="BA26" i="23"/>
  <c r="BE16" i="23"/>
  <c r="AZ16" i="23"/>
  <c r="BC16" i="23"/>
  <c r="BA16" i="23"/>
  <c r="BD16" i="23"/>
  <c r="AU16" i="23"/>
  <c r="BB16" i="23"/>
  <c r="AR9" i="12" a="1"/>
  <c r="AR9" i="20" a="1"/>
  <c r="AR9" i="20" s="1"/>
  <c r="AS9" i="20" s="1"/>
  <c r="BB9" i="20" s="1"/>
  <c r="AX8" i="10"/>
  <c r="AW10" i="10"/>
  <c r="B6" i="5"/>
  <c r="AU32" i="10"/>
  <c r="AU35" i="10" s="1"/>
  <c r="BC26" i="2"/>
  <c r="AS23" i="2"/>
  <c r="E21" i="3" s="1"/>
  <c r="BB28" i="2"/>
  <c r="BC14" i="2"/>
  <c r="BE28" i="2"/>
  <c r="BE22" i="2"/>
  <c r="AZ14" i="2"/>
  <c r="BD26" i="2"/>
  <c r="BA26" i="2"/>
  <c r="N30" i="12"/>
  <c r="R30" i="12"/>
  <c r="U30" i="12"/>
  <c r="E24" i="3"/>
  <c r="AU12" i="2"/>
  <c r="G10" i="3" s="1"/>
  <c r="BA10" i="2"/>
  <c r="AU10" i="2"/>
  <c r="G8" i="3" s="1"/>
  <c r="AU22" i="2"/>
  <c r="G20" i="3" s="1"/>
  <c r="BC10" i="2"/>
  <c r="BB22" i="2"/>
  <c r="E8" i="3"/>
  <c r="BD19" i="2"/>
  <c r="P30" i="20"/>
  <c r="S30" i="20"/>
  <c r="BA24" i="2"/>
  <c r="BA22" i="2"/>
  <c r="AZ26" i="2"/>
  <c r="O30" i="12"/>
  <c r="E20" i="3"/>
  <c r="BB10" i="2"/>
  <c r="BB26" i="2"/>
  <c r="BD22" i="2"/>
  <c r="O30" i="20"/>
  <c r="S30" i="12"/>
  <c r="R30" i="20"/>
  <c r="Q30" i="12"/>
  <c r="U30" i="20"/>
  <c r="M9" i="12"/>
  <c r="M30" i="12" s="1"/>
  <c r="P30" i="22"/>
  <c r="Q30" i="20"/>
  <c r="S30" i="22"/>
  <c r="E25" i="3"/>
  <c r="E17" i="3"/>
  <c r="BD10" i="2"/>
  <c r="BE19" i="2"/>
  <c r="AZ24" i="2"/>
  <c r="AU24" i="2"/>
  <c r="G22" i="3" s="1"/>
  <c r="BB24" i="2"/>
  <c r="U30" i="22"/>
  <c r="Q30" i="22"/>
  <c r="BE10" i="2"/>
  <c r="O30" i="11"/>
  <c r="M9" i="22"/>
  <c r="M30" i="22" s="1"/>
  <c r="N30" i="25"/>
  <c r="Q30" i="25"/>
  <c r="S30" i="25"/>
  <c r="P30" i="25"/>
  <c r="M9" i="20"/>
  <c r="M30" i="20" s="1"/>
  <c r="R30" i="22"/>
  <c r="E12" i="3"/>
  <c r="O30" i="25"/>
  <c r="BA14" i="2"/>
  <c r="BB11" i="2"/>
  <c r="AZ11" i="2"/>
  <c r="AU11" i="2"/>
  <c r="G9" i="3" s="1"/>
  <c r="BD11" i="2"/>
  <c r="E9" i="3"/>
  <c r="BB27" i="2"/>
  <c r="BC27" i="2"/>
  <c r="BE27" i="2"/>
  <c r="BD27" i="2"/>
  <c r="BA27" i="2"/>
  <c r="AU14" i="2"/>
  <c r="G12" i="3" s="1"/>
  <c r="BE11" i="2"/>
  <c r="BC11" i="2"/>
  <c r="U30" i="25"/>
  <c r="N30" i="22"/>
  <c r="BE14" i="2"/>
  <c r="AU27" i="2"/>
  <c r="G25" i="3" s="1"/>
  <c r="R30" i="14"/>
  <c r="M9" i="11"/>
  <c r="M30" i="11" s="1"/>
  <c r="M9" i="25"/>
  <c r="M9" i="24" s="1" a="1"/>
  <c r="U30" i="11"/>
  <c r="Q30" i="14"/>
  <c r="M9" i="14"/>
  <c r="M30" i="14" s="1"/>
  <c r="O30" i="14"/>
  <c r="N30" i="11"/>
  <c r="U30" i="14"/>
  <c r="P30" i="11"/>
  <c r="S30" i="11"/>
  <c r="P30" i="14"/>
  <c r="S30" i="14"/>
  <c r="R30" i="11"/>
  <c r="BA12" i="2"/>
  <c r="BB14" i="2"/>
  <c r="AW9" i="2"/>
  <c r="AX8" i="2" s="1"/>
  <c r="BD12" i="2"/>
  <c r="BB12" i="2"/>
  <c r="BE13" i="2"/>
  <c r="BD13" i="2"/>
  <c r="BC13" i="2"/>
  <c r="E11" i="3"/>
  <c r="BA13" i="2"/>
  <c r="AZ13" i="2"/>
  <c r="AU13" i="2"/>
  <c r="G11" i="3" s="1"/>
  <c r="BB13" i="2"/>
  <c r="E10" i="3"/>
  <c r="BE12" i="2"/>
  <c r="BC12" i="2"/>
  <c r="AU9" i="2"/>
  <c r="G7" i="3" s="1"/>
  <c r="BE9" i="2"/>
  <c r="E7" i="3"/>
  <c r="AZ9" i="2"/>
  <c r="BC9" i="2"/>
  <c r="BD9" i="2"/>
  <c r="BB9" i="2"/>
  <c r="AR17" i="2"/>
  <c r="AL17" i="2"/>
  <c r="AL30" i="2" s="1"/>
  <c r="AK30" i="2"/>
  <c r="E16" i="3"/>
  <c r="AU18" i="2"/>
  <c r="G16" i="3" s="1"/>
  <c r="BC18" i="2"/>
  <c r="BE18" i="2"/>
  <c r="BB18" i="2"/>
  <c r="AZ18" i="2"/>
  <c r="BD18" i="2"/>
  <c r="BA18" i="2"/>
  <c r="D23" i="3"/>
  <c r="AS25" i="2"/>
  <c r="G26" i="3"/>
  <c r="AK30" i="21"/>
  <c r="D12" i="15" l="1"/>
  <c r="C13" i="15"/>
  <c r="AI10" i="26"/>
  <c r="AJ10" i="26" s="1"/>
  <c r="AK10" i="26" s="1"/>
  <c r="AL10" i="26" s="1"/>
  <c r="W10" i="26"/>
  <c r="W12" i="26"/>
  <c r="AI12" i="26"/>
  <c r="C14" i="26"/>
  <c r="D13" i="26"/>
  <c r="F13" i="26"/>
  <c r="AI11" i="26"/>
  <c r="W11" i="26"/>
  <c r="G12" i="13"/>
  <c r="F13" i="13"/>
  <c r="I13" i="13" s="1"/>
  <c r="C14" i="13"/>
  <c r="D13" i="13"/>
  <c r="G13" i="13" s="1"/>
  <c r="I12" i="13"/>
  <c r="AW11" i="24"/>
  <c r="AX10" i="24"/>
  <c r="AS26" i="25"/>
  <c r="BB26" i="25" s="1"/>
  <c r="AS22" i="25"/>
  <c r="BE22" i="25" s="1"/>
  <c r="AS18" i="25"/>
  <c r="BC18" i="25" s="1"/>
  <c r="AS21" i="25"/>
  <c r="AU21" i="25" s="1"/>
  <c r="AS25" i="25"/>
  <c r="AU25" i="25" s="1"/>
  <c r="AS13" i="25"/>
  <c r="AZ13" i="25" s="1"/>
  <c r="AS24" i="25"/>
  <c r="BA24" i="25" s="1"/>
  <c r="AS19" i="25"/>
  <c r="AU19" i="25" s="1"/>
  <c r="AS27" i="25"/>
  <c r="BB27" i="25" s="1"/>
  <c r="AS11" i="25"/>
  <c r="BE11" i="25" s="1"/>
  <c r="AS15" i="25"/>
  <c r="AZ15" i="25" s="1"/>
  <c r="AS10" i="25"/>
  <c r="BD10" i="25" s="1"/>
  <c r="AS20" i="25"/>
  <c r="AU20" i="25" s="1"/>
  <c r="AS23" i="25"/>
  <c r="BC23" i="25" s="1"/>
  <c r="AU26" i="25"/>
  <c r="AU18" i="25"/>
  <c r="BB22" i="25"/>
  <c r="AU22" i="25"/>
  <c r="BD27" i="25"/>
  <c r="AS14" i="25"/>
  <c r="AS28" i="25"/>
  <c r="AS17" i="25"/>
  <c r="AO30" i="25"/>
  <c r="AS9" i="25"/>
  <c r="BE24" i="25"/>
  <c r="BC24" i="25"/>
  <c r="AS12" i="25"/>
  <c r="AS16" i="25"/>
  <c r="BE27" i="14"/>
  <c r="BC27" i="14"/>
  <c r="BA27" i="14"/>
  <c r="AU27" i="14"/>
  <c r="BD27" i="14"/>
  <c r="BB27" i="14"/>
  <c r="AZ27" i="14"/>
  <c r="BE12" i="14"/>
  <c r="BC12" i="14"/>
  <c r="BA12" i="14"/>
  <c r="AU12" i="14"/>
  <c r="BD12" i="14"/>
  <c r="BB12" i="14"/>
  <c r="AZ12" i="14"/>
  <c r="BD15" i="14"/>
  <c r="BB15" i="14"/>
  <c r="AZ15" i="14"/>
  <c r="BE15" i="14"/>
  <c r="BC15" i="14"/>
  <c r="BA15" i="14"/>
  <c r="AU15" i="14"/>
  <c r="BE28" i="14"/>
  <c r="BC28" i="14"/>
  <c r="BA28" i="14"/>
  <c r="AU28" i="14"/>
  <c r="BD28" i="14"/>
  <c r="BB28" i="14"/>
  <c r="AZ28" i="14"/>
  <c r="BD23" i="14"/>
  <c r="BB23" i="14"/>
  <c r="AZ23" i="14"/>
  <c r="BE23" i="14"/>
  <c r="BC23" i="14"/>
  <c r="BA23" i="14"/>
  <c r="AU23" i="14"/>
  <c r="BE11" i="14"/>
  <c r="BC11" i="14"/>
  <c r="BA11" i="14"/>
  <c r="AU11" i="14"/>
  <c r="BD11" i="14"/>
  <c r="BB11" i="14"/>
  <c r="AZ11" i="14"/>
  <c r="BE22" i="14"/>
  <c r="BC22" i="14"/>
  <c r="BA22" i="14"/>
  <c r="AU22" i="14"/>
  <c r="BB22" i="14"/>
  <c r="BD22" i="14"/>
  <c r="AZ22" i="14"/>
  <c r="BE20" i="14"/>
  <c r="BC20" i="14"/>
  <c r="BA20" i="14"/>
  <c r="AU20" i="14"/>
  <c r="BD20" i="14"/>
  <c r="BB20" i="14"/>
  <c r="AZ20" i="14"/>
  <c r="AU25" i="14"/>
  <c r="BD25" i="14"/>
  <c r="BB25" i="14"/>
  <c r="AZ25" i="14"/>
  <c r="BE25" i="14"/>
  <c r="BC25" i="14"/>
  <c r="BA25" i="14"/>
  <c r="BE14" i="14"/>
  <c r="BC14" i="14"/>
  <c r="BA14" i="14"/>
  <c r="BD14" i="14"/>
  <c r="AZ14" i="14"/>
  <c r="AU14" i="14"/>
  <c r="BB14" i="14"/>
  <c r="BE10" i="14"/>
  <c r="AU10" i="14"/>
  <c r="BD10" i="14"/>
  <c r="BB10" i="14"/>
  <c r="AZ10" i="14"/>
  <c r="BC10" i="14"/>
  <c r="BA10" i="14"/>
  <c r="BE19" i="14"/>
  <c r="BC19" i="14"/>
  <c r="BA19" i="14"/>
  <c r="AU19" i="14"/>
  <c r="BD19" i="14"/>
  <c r="BB19" i="14"/>
  <c r="AZ19" i="14"/>
  <c r="BC17" i="14"/>
  <c r="AU17" i="14"/>
  <c r="BE17" i="14"/>
  <c r="BD17" i="14"/>
  <c r="BB17" i="14"/>
  <c r="AZ17" i="14"/>
  <c r="BA17" i="14"/>
  <c r="BE21" i="14"/>
  <c r="BC21" i="14"/>
  <c r="BA21" i="14"/>
  <c r="BB21" i="14"/>
  <c r="AZ21" i="14"/>
  <c r="AU21" i="14"/>
  <c r="BD21" i="14"/>
  <c r="AU26" i="14"/>
  <c r="BE26" i="14"/>
  <c r="BD26" i="14"/>
  <c r="BB26" i="14"/>
  <c r="AZ26" i="14"/>
  <c r="BC26" i="14"/>
  <c r="BA26" i="14"/>
  <c r="AU24" i="14"/>
  <c r="BD24" i="14"/>
  <c r="BB24" i="14"/>
  <c r="AZ24" i="14"/>
  <c r="BE24" i="14"/>
  <c r="BC24" i="14"/>
  <c r="BA24" i="14"/>
  <c r="BD13" i="14"/>
  <c r="BB13" i="14"/>
  <c r="AZ13" i="14"/>
  <c r="BE13" i="14"/>
  <c r="BC13" i="14"/>
  <c r="BA13" i="14"/>
  <c r="AU13" i="14"/>
  <c r="AU18" i="14"/>
  <c r="BD18" i="14"/>
  <c r="BB18" i="14"/>
  <c r="AZ18" i="14"/>
  <c r="BE18" i="14"/>
  <c r="BA18" i="14"/>
  <c r="BC18" i="14"/>
  <c r="AU16" i="14"/>
  <c r="BD16" i="14"/>
  <c r="BB16" i="14"/>
  <c r="AZ16" i="14"/>
  <c r="BE16" i="14"/>
  <c r="BC16" i="14"/>
  <c r="BA16" i="14"/>
  <c r="AO30" i="14"/>
  <c r="AS9" i="14"/>
  <c r="AU18" i="11"/>
  <c r="BE18" i="11"/>
  <c r="BC18" i="11"/>
  <c r="BA18" i="11"/>
  <c r="BD18" i="11"/>
  <c r="BB18" i="11"/>
  <c r="AZ18" i="11"/>
  <c r="BC15" i="11"/>
  <c r="BD15" i="11"/>
  <c r="BB15" i="11"/>
  <c r="AZ15" i="11"/>
  <c r="AU15" i="11"/>
  <c r="BA15" i="11"/>
  <c r="BE15" i="11"/>
  <c r="BC23" i="11"/>
  <c r="BA23" i="11"/>
  <c r="BD23" i="11"/>
  <c r="BB23" i="11"/>
  <c r="AZ23" i="11"/>
  <c r="AU23" i="11"/>
  <c r="BE23" i="11"/>
  <c r="BD22" i="11"/>
  <c r="BB22" i="11"/>
  <c r="AZ22" i="11"/>
  <c r="AU22" i="11"/>
  <c r="BE22" i="11"/>
  <c r="BC22" i="11"/>
  <c r="BA22" i="11"/>
  <c r="BD14" i="11"/>
  <c r="BB14" i="11"/>
  <c r="AZ14" i="11"/>
  <c r="AU14" i="11"/>
  <c r="BE14" i="11"/>
  <c r="BC14" i="11"/>
  <c r="BA14" i="11"/>
  <c r="BD28" i="11"/>
  <c r="BB28" i="11"/>
  <c r="AZ28" i="11"/>
  <c r="AU28" i="11"/>
  <c r="BE28" i="11"/>
  <c r="BC28" i="11"/>
  <c r="BA28" i="11"/>
  <c r="BE17" i="11"/>
  <c r="BC17" i="11"/>
  <c r="BA17" i="11"/>
  <c r="AU17" i="11"/>
  <c r="BD17" i="11"/>
  <c r="BB17" i="11"/>
  <c r="AZ17" i="11"/>
  <c r="BD21" i="11"/>
  <c r="BB21" i="11"/>
  <c r="AZ21" i="11"/>
  <c r="AU21" i="11"/>
  <c r="BE21" i="11"/>
  <c r="BC21" i="11"/>
  <c r="BA21" i="11"/>
  <c r="AU26" i="11"/>
  <c r="BE26" i="11"/>
  <c r="BC26" i="11"/>
  <c r="BA26" i="11"/>
  <c r="BD26" i="11"/>
  <c r="BB26" i="11"/>
  <c r="AZ26" i="11"/>
  <c r="AU25" i="11"/>
  <c r="BE25" i="11"/>
  <c r="BC25" i="11"/>
  <c r="BA25" i="11"/>
  <c r="BD25" i="11"/>
  <c r="BB25" i="11"/>
  <c r="AZ25" i="11"/>
  <c r="AZ11" i="11"/>
  <c r="AU11" i="11"/>
  <c r="BB11" i="11"/>
  <c r="BE11" i="11"/>
  <c r="BC11" i="11"/>
  <c r="BA11" i="11"/>
  <c r="BD11" i="11"/>
  <c r="BE24" i="11"/>
  <c r="BC24" i="11"/>
  <c r="BA24" i="11"/>
  <c r="BD24" i="11"/>
  <c r="BB24" i="11"/>
  <c r="AZ24" i="11"/>
  <c r="AU24" i="11"/>
  <c r="BD13" i="11"/>
  <c r="BB13" i="11"/>
  <c r="AZ13" i="11"/>
  <c r="AU13" i="11"/>
  <c r="BE13" i="11"/>
  <c r="BC13" i="11"/>
  <c r="BA13" i="11"/>
  <c r="AU10" i="11"/>
  <c r="BE10" i="11"/>
  <c r="BC10" i="11"/>
  <c r="BA10" i="11"/>
  <c r="BD10" i="11"/>
  <c r="BB10" i="11"/>
  <c r="AZ10" i="11"/>
  <c r="BD20" i="11"/>
  <c r="BB20" i="11"/>
  <c r="AZ20" i="11"/>
  <c r="AU20" i="11"/>
  <c r="BE20" i="11"/>
  <c r="BC20" i="11"/>
  <c r="BA20" i="11"/>
  <c r="AU27" i="11"/>
  <c r="BD27" i="11"/>
  <c r="BB27" i="11"/>
  <c r="BE27" i="11"/>
  <c r="BC27" i="11"/>
  <c r="BA27" i="11"/>
  <c r="AZ27" i="11"/>
  <c r="AU19" i="11"/>
  <c r="BE19" i="11"/>
  <c r="BC19" i="11"/>
  <c r="BA19" i="11"/>
  <c r="BD19" i="11"/>
  <c r="BB19" i="11"/>
  <c r="AZ19" i="11"/>
  <c r="BD12" i="11"/>
  <c r="BB12" i="11"/>
  <c r="AZ12" i="11"/>
  <c r="AU12" i="11"/>
  <c r="BE12" i="11"/>
  <c r="BC12" i="11"/>
  <c r="BA12" i="11"/>
  <c r="BE16" i="11"/>
  <c r="BC16" i="11"/>
  <c r="BA16" i="11"/>
  <c r="BD16" i="11"/>
  <c r="BB16" i="11"/>
  <c r="AZ16" i="11"/>
  <c r="AU16" i="11"/>
  <c r="AO30" i="11"/>
  <c r="AS9" i="11"/>
  <c r="AZ15" i="22"/>
  <c r="BD15" i="22"/>
  <c r="BC15" i="22"/>
  <c r="AU15" i="22"/>
  <c r="BA15" i="22"/>
  <c r="BB15" i="22"/>
  <c r="BE15" i="22"/>
  <c r="BC22" i="22"/>
  <c r="BB22" i="22"/>
  <c r="BA22" i="22"/>
  <c r="BD22" i="22"/>
  <c r="AU22" i="22"/>
  <c r="BE22" i="22"/>
  <c r="AZ22" i="22"/>
  <c r="BE16" i="22"/>
  <c r="AZ16" i="22"/>
  <c r="BC16" i="22"/>
  <c r="BA16" i="22"/>
  <c r="AU16" i="22"/>
  <c r="BD16" i="22"/>
  <c r="BB16" i="22"/>
  <c r="BE24" i="22"/>
  <c r="AZ24" i="22"/>
  <c r="BC24" i="22"/>
  <c r="BA24" i="22"/>
  <c r="AU24" i="22"/>
  <c r="BB24" i="22"/>
  <c r="BD24" i="22"/>
  <c r="BB25" i="22"/>
  <c r="BE25" i="22"/>
  <c r="AZ25" i="22"/>
  <c r="BA25" i="22"/>
  <c r="BC25" i="22"/>
  <c r="BD25" i="22"/>
  <c r="AU25" i="22"/>
  <c r="BD11" i="22"/>
  <c r="AU11" i="22"/>
  <c r="BC11" i="22"/>
  <c r="BB11" i="22"/>
  <c r="AZ11" i="22"/>
  <c r="BE11" i="22"/>
  <c r="BA11" i="22"/>
  <c r="BB26" i="22"/>
  <c r="BE26" i="22"/>
  <c r="AZ26" i="22"/>
  <c r="BC26" i="22"/>
  <c r="BA26" i="22"/>
  <c r="BD26" i="22"/>
  <c r="AU26" i="22"/>
  <c r="BD27" i="22"/>
  <c r="AU27" i="22"/>
  <c r="BB27" i="22"/>
  <c r="BE27" i="22"/>
  <c r="AZ27" i="22"/>
  <c r="BC27" i="22"/>
  <c r="BA27" i="22"/>
  <c r="BC14" i="22"/>
  <c r="BA14" i="22"/>
  <c r="BD14" i="22"/>
  <c r="AU14" i="22"/>
  <c r="BE14" i="22"/>
  <c r="BB14" i="22"/>
  <c r="AZ14" i="22"/>
  <c r="BA13" i="22"/>
  <c r="BD13" i="22"/>
  <c r="AU13" i="22"/>
  <c r="BE13" i="22"/>
  <c r="BB13" i="22"/>
  <c r="AZ13" i="22"/>
  <c r="BC13" i="22"/>
  <c r="AZ23" i="22"/>
  <c r="AU23" i="22"/>
  <c r="BC23" i="22"/>
  <c r="BA23" i="22"/>
  <c r="BD23" i="22"/>
  <c r="BB23" i="22"/>
  <c r="BE23" i="22"/>
  <c r="BA20" i="22"/>
  <c r="BD20" i="22"/>
  <c r="AU20" i="22"/>
  <c r="BE20" i="22"/>
  <c r="BB20" i="22"/>
  <c r="BC20" i="22"/>
  <c r="AZ20" i="22"/>
  <c r="BA28" i="22"/>
  <c r="BD28" i="22"/>
  <c r="AU28" i="22"/>
  <c r="BE28" i="22"/>
  <c r="BB28" i="22"/>
  <c r="BC28" i="22"/>
  <c r="AZ28" i="22"/>
  <c r="BA12" i="22"/>
  <c r="AZ12" i="22"/>
  <c r="BD12" i="22"/>
  <c r="AU12" i="22"/>
  <c r="BB12" i="22"/>
  <c r="BE12" i="22"/>
  <c r="BC12" i="22"/>
  <c r="BA21" i="22"/>
  <c r="BD21" i="22"/>
  <c r="AU21" i="22"/>
  <c r="BB21" i="22"/>
  <c r="BE21" i="22"/>
  <c r="AZ21" i="22"/>
  <c r="BC21" i="22"/>
  <c r="BB18" i="22"/>
  <c r="BE18" i="22"/>
  <c r="AZ18" i="22"/>
  <c r="BC18" i="22"/>
  <c r="BA18" i="22"/>
  <c r="BD18" i="22"/>
  <c r="AU18" i="22"/>
  <c r="BD19" i="22"/>
  <c r="AU19" i="22"/>
  <c r="BC19" i="22"/>
  <c r="BB19" i="22"/>
  <c r="BE19" i="22"/>
  <c r="AZ19" i="22"/>
  <c r="BA19" i="22"/>
  <c r="BB10" i="22"/>
  <c r="BE10" i="22"/>
  <c r="AZ10" i="22"/>
  <c r="BC10" i="22"/>
  <c r="BA10" i="22"/>
  <c r="BD10" i="22"/>
  <c r="AU10" i="22"/>
  <c r="BB17" i="22"/>
  <c r="BE17" i="22"/>
  <c r="AZ17" i="22"/>
  <c r="BC17" i="22"/>
  <c r="BD17" i="22"/>
  <c r="AU17" i="22"/>
  <c r="BA17" i="22"/>
  <c r="AR30" i="22"/>
  <c r="AS9" i="22"/>
  <c r="BA30" i="23"/>
  <c r="BD30" i="23"/>
  <c r="AX9" i="23"/>
  <c r="AW10" i="23"/>
  <c r="BC30" i="23"/>
  <c r="AU30" i="23"/>
  <c r="AZ30" i="23"/>
  <c r="BE30" i="23"/>
  <c r="BB30" i="23"/>
  <c r="AR9" i="12"/>
  <c r="AS13" i="12"/>
  <c r="AS11" i="12"/>
  <c r="AS21" i="12"/>
  <c r="AS10" i="12"/>
  <c r="AS27" i="12"/>
  <c r="AS22" i="12"/>
  <c r="AS19" i="12"/>
  <c r="AS14" i="12"/>
  <c r="AS17" i="12"/>
  <c r="AS25" i="12"/>
  <c r="AS12" i="12"/>
  <c r="AS15" i="12"/>
  <c r="AS20" i="12"/>
  <c r="AS23" i="12"/>
  <c r="AS28" i="12"/>
  <c r="AS18" i="12"/>
  <c r="AS26" i="12"/>
  <c r="AS16" i="12"/>
  <c r="AS24" i="12"/>
  <c r="AS13" i="20"/>
  <c r="AS14" i="20"/>
  <c r="AS11" i="20"/>
  <c r="AS15" i="20"/>
  <c r="AU15" i="20" s="1"/>
  <c r="AS10" i="20"/>
  <c r="AS24" i="20"/>
  <c r="AU24" i="20" s="1"/>
  <c r="AS26" i="20"/>
  <c r="AU26" i="20" s="1"/>
  <c r="AS22" i="20"/>
  <c r="AZ22" i="20" s="1"/>
  <c r="AS16" i="20"/>
  <c r="AS21" i="20"/>
  <c r="AS25" i="20"/>
  <c r="AS18" i="20"/>
  <c r="BE18" i="20" s="1"/>
  <c r="AS19" i="20"/>
  <c r="AZ19" i="20" s="1"/>
  <c r="AS28" i="20"/>
  <c r="BE28" i="20" s="1"/>
  <c r="AS12" i="20"/>
  <c r="BB12" i="20" s="1"/>
  <c r="AX9" i="20"/>
  <c r="AS27" i="20"/>
  <c r="AS23" i="20"/>
  <c r="BE23" i="20" s="1"/>
  <c r="AR30" i="20"/>
  <c r="BD9" i="20"/>
  <c r="AS17" i="20"/>
  <c r="BA17" i="20" s="1"/>
  <c r="AS20" i="20"/>
  <c r="BB20" i="20" s="1"/>
  <c r="AZ9" i="20"/>
  <c r="BC9" i="20"/>
  <c r="AU9" i="20"/>
  <c r="BA9" i="20"/>
  <c r="BE9" i="20"/>
  <c r="AZ17" i="20"/>
  <c r="BD20" i="20"/>
  <c r="AU18" i="20"/>
  <c r="BB18" i="20"/>
  <c r="AU23" i="20"/>
  <c r="AZ23" i="20"/>
  <c r="BC23" i="20"/>
  <c r="BA23" i="20"/>
  <c r="BD23" i="20"/>
  <c r="BB23" i="20"/>
  <c r="AU21" i="20"/>
  <c r="BA21" i="20"/>
  <c r="BD21" i="20"/>
  <c r="BB21" i="20"/>
  <c r="AZ21" i="20"/>
  <c r="BC21" i="20"/>
  <c r="BE21" i="20"/>
  <c r="BC15" i="20"/>
  <c r="BD15" i="20"/>
  <c r="BB15" i="20"/>
  <c r="BE15" i="20"/>
  <c r="AU11" i="20"/>
  <c r="BD11" i="20"/>
  <c r="BB11" i="20"/>
  <c r="BC11" i="20"/>
  <c r="BE11" i="20"/>
  <c r="AZ11" i="20"/>
  <c r="BA11" i="20"/>
  <c r="BC24" i="20"/>
  <c r="AU16" i="20"/>
  <c r="BE16" i="20"/>
  <c r="BD16" i="20"/>
  <c r="AZ16" i="20"/>
  <c r="BC16" i="20"/>
  <c r="BA16" i="20"/>
  <c r="BB16" i="20"/>
  <c r="AU19" i="20"/>
  <c r="BD19" i="20"/>
  <c r="BB19" i="20"/>
  <c r="BE19" i="20"/>
  <c r="BC19" i="20"/>
  <c r="BA19" i="20"/>
  <c r="AU27" i="20"/>
  <c r="BD27" i="20"/>
  <c r="BB27" i="20"/>
  <c r="BC27" i="20"/>
  <c r="BE27" i="20"/>
  <c r="AZ27" i="20"/>
  <c r="BA27" i="20"/>
  <c r="AU10" i="20"/>
  <c r="BB10" i="20"/>
  <c r="BE10" i="20"/>
  <c r="AZ10" i="20"/>
  <c r="BC10" i="20"/>
  <c r="BA10" i="20"/>
  <c r="BD10" i="20"/>
  <c r="BB28" i="20"/>
  <c r="AU14" i="20"/>
  <c r="BC14" i="20"/>
  <c r="BB14" i="20"/>
  <c r="BA14" i="20"/>
  <c r="BD14" i="20"/>
  <c r="BE14" i="20"/>
  <c r="AZ14" i="20"/>
  <c r="AU13" i="20"/>
  <c r="BA13" i="20"/>
  <c r="BD13" i="20"/>
  <c r="BB13" i="20"/>
  <c r="AZ13" i="20"/>
  <c r="BE13" i="20"/>
  <c r="BC13" i="20"/>
  <c r="AU25" i="20"/>
  <c r="BB25" i="20"/>
  <c r="BE25" i="20"/>
  <c r="BA25" i="20"/>
  <c r="AZ25" i="20"/>
  <c r="BC25" i="20"/>
  <c r="BD25" i="20"/>
  <c r="AW11" i="10"/>
  <c r="AX9" i="10"/>
  <c r="AW10" i="2"/>
  <c r="AW11" i="2" s="1"/>
  <c r="BB23" i="2"/>
  <c r="AU23" i="2"/>
  <c r="G21" i="3" s="1"/>
  <c r="AZ23" i="2"/>
  <c r="BE23" i="2"/>
  <c r="BD23" i="2"/>
  <c r="BA23" i="2"/>
  <c r="BC23" i="2"/>
  <c r="M30" i="25"/>
  <c r="F7" i="3"/>
  <c r="AU25" i="2"/>
  <c r="G23" i="3" s="1"/>
  <c r="BB25" i="2"/>
  <c r="E23" i="3"/>
  <c r="BA25" i="2"/>
  <c r="BE25" i="2"/>
  <c r="BD25" i="2"/>
  <c r="BC25" i="2"/>
  <c r="AZ25" i="2"/>
  <c r="D15" i="3"/>
  <c r="AS17" i="2"/>
  <c r="AR30" i="2"/>
  <c r="F8" i="3"/>
  <c r="M9" i="24"/>
  <c r="O30" i="24"/>
  <c r="P30" i="24"/>
  <c r="U30" i="24"/>
  <c r="N30" i="24"/>
  <c r="S30" i="24"/>
  <c r="Q30" i="24"/>
  <c r="R30" i="24"/>
  <c r="AR9" i="21"/>
  <c r="AL30" i="21"/>
  <c r="C14" i="15" l="1"/>
  <c r="D13" i="15"/>
  <c r="G13" i="26"/>
  <c r="F14" i="26"/>
  <c r="D14" i="26"/>
  <c r="G14" i="26" s="1"/>
  <c r="C15" i="26"/>
  <c r="AJ11" i="26"/>
  <c r="F14" i="13"/>
  <c r="C15" i="13"/>
  <c r="D14" i="13"/>
  <c r="G14" i="13" s="1"/>
  <c r="BB11" i="25"/>
  <c r="BD22" i="25"/>
  <c r="AZ25" i="25"/>
  <c r="BC26" i="25"/>
  <c r="BD25" i="25"/>
  <c r="BD20" i="25"/>
  <c r="BA25" i="25"/>
  <c r="BC25" i="25"/>
  <c r="BC27" i="25"/>
  <c r="BA26" i="25"/>
  <c r="BC22" i="25"/>
  <c r="BC11" i="25"/>
  <c r="BA22" i="25"/>
  <c r="AU11" i="25"/>
  <c r="AZ18" i="25"/>
  <c r="BB20" i="25"/>
  <c r="AZ22" i="25"/>
  <c r="BA27" i="25"/>
  <c r="BB23" i="25"/>
  <c r="BE27" i="25"/>
  <c r="BC13" i="25"/>
  <c r="AZ26" i="25"/>
  <c r="AU27" i="25"/>
  <c r="BD26" i="25"/>
  <c r="AZ27" i="25"/>
  <c r="BE26" i="25"/>
  <c r="AU13" i="25"/>
  <c r="BD23" i="25"/>
  <c r="BC20" i="25"/>
  <c r="BE20" i="25"/>
  <c r="AZ20" i="25"/>
  <c r="BB25" i="25"/>
  <c r="BA15" i="25"/>
  <c r="BA13" i="25"/>
  <c r="BE13" i="25"/>
  <c r="BE10" i="25"/>
  <c r="BB15" i="25"/>
  <c r="BE18" i="25"/>
  <c r="BD15" i="25"/>
  <c r="BC21" i="25"/>
  <c r="BB21" i="25"/>
  <c r="AZ10" i="25"/>
  <c r="BC15" i="25"/>
  <c r="BB18" i="25"/>
  <c r="BA23" i="25"/>
  <c r="AZ21" i="25"/>
  <c r="BB10" i="25"/>
  <c r="BB13" i="25"/>
  <c r="BE15" i="25"/>
  <c r="BD18" i="25"/>
  <c r="BE23" i="25"/>
  <c r="BA10" i="25"/>
  <c r="BD13" i="25"/>
  <c r="AU15" i="25"/>
  <c r="BA18" i="25"/>
  <c r="AU23" i="25"/>
  <c r="BA20" i="25"/>
  <c r="BE25" i="25"/>
  <c r="BC10" i="25"/>
  <c r="AZ11" i="25"/>
  <c r="AZ23" i="25"/>
  <c r="AW12" i="24"/>
  <c r="AX11" i="24"/>
  <c r="AU33" i="11"/>
  <c r="BB19" i="25"/>
  <c r="AU10" i="25"/>
  <c r="BD11" i="25"/>
  <c r="BD21" i="25"/>
  <c r="AZ19" i="25"/>
  <c r="AZ24" i="25"/>
  <c r="BD19" i="25"/>
  <c r="BA11" i="25"/>
  <c r="BE21" i="25"/>
  <c r="BB24" i="25"/>
  <c r="BA19" i="25"/>
  <c r="BD24" i="25"/>
  <c r="BC19" i="25"/>
  <c r="BA21" i="25"/>
  <c r="AU24" i="25"/>
  <c r="BE19" i="25"/>
  <c r="BD12" i="25"/>
  <c r="BB12" i="25"/>
  <c r="AZ12" i="25"/>
  <c r="AU12" i="25"/>
  <c r="BE12" i="25"/>
  <c r="BC12" i="25"/>
  <c r="BA12" i="25"/>
  <c r="BD28" i="25"/>
  <c r="BB28" i="25"/>
  <c r="AZ28" i="25"/>
  <c r="AU28" i="25"/>
  <c r="BE28" i="25"/>
  <c r="BC28" i="25"/>
  <c r="BA28" i="25"/>
  <c r="BE17" i="25"/>
  <c r="BC17" i="25"/>
  <c r="BA17" i="25"/>
  <c r="BB17" i="25"/>
  <c r="AZ17" i="25"/>
  <c r="AU17" i="25"/>
  <c r="BD17" i="25"/>
  <c r="BD14" i="25"/>
  <c r="BB14" i="25"/>
  <c r="AZ14" i="25"/>
  <c r="AU14" i="25"/>
  <c r="BE14" i="25"/>
  <c r="BC14" i="25"/>
  <c r="BA14" i="25"/>
  <c r="BE9" i="25"/>
  <c r="BC9" i="25"/>
  <c r="BA9" i="25"/>
  <c r="BB9" i="25"/>
  <c r="AU9" i="25"/>
  <c r="AZ9" i="25"/>
  <c r="BD9" i="25"/>
  <c r="AS30" i="25"/>
  <c r="AU33" i="25"/>
  <c r="BE16" i="25"/>
  <c r="BC16" i="25"/>
  <c r="BA16" i="25"/>
  <c r="BD16" i="25"/>
  <c r="BB16" i="25"/>
  <c r="AZ16" i="25"/>
  <c r="AU16" i="25"/>
  <c r="AU9" i="14"/>
  <c r="AU30" i="14" s="1"/>
  <c r="BD9" i="14"/>
  <c r="BD30" i="14" s="1"/>
  <c r="BB9" i="14"/>
  <c r="BB30" i="14" s="1"/>
  <c r="AZ9" i="14"/>
  <c r="AZ30" i="14" s="1"/>
  <c r="BE9" i="14"/>
  <c r="BE30" i="14" s="1"/>
  <c r="BC9" i="14"/>
  <c r="BC30" i="14" s="1"/>
  <c r="BA9" i="14"/>
  <c r="BA30" i="14" s="1"/>
  <c r="AS30" i="14"/>
  <c r="AU33" i="14"/>
  <c r="BE9" i="11"/>
  <c r="BE30" i="11" s="1"/>
  <c r="BC9" i="11"/>
  <c r="BC30" i="11" s="1"/>
  <c r="BA9" i="11"/>
  <c r="BA30" i="11" s="1"/>
  <c r="AU9" i="11"/>
  <c r="AU30" i="11" s="1"/>
  <c r="BD9" i="11"/>
  <c r="BD30" i="11" s="1"/>
  <c r="BB9" i="11"/>
  <c r="BB30" i="11" s="1"/>
  <c r="AZ9" i="11"/>
  <c r="AZ30" i="11" s="1"/>
  <c r="AS30" i="11"/>
  <c r="BB9" i="22"/>
  <c r="BB30" i="22" s="1"/>
  <c r="BE9" i="22"/>
  <c r="BE30" i="22" s="1"/>
  <c r="AZ9" i="22"/>
  <c r="AZ30" i="22" s="1"/>
  <c r="BC9" i="22"/>
  <c r="BC30" i="22" s="1"/>
  <c r="BA9" i="22"/>
  <c r="BA30" i="22" s="1"/>
  <c r="BD9" i="22"/>
  <c r="BD30" i="22" s="1"/>
  <c r="AU9" i="22"/>
  <c r="AU30" i="22" s="1"/>
  <c r="AS30" i="22"/>
  <c r="AU33" i="22"/>
  <c r="C10" i="5"/>
  <c r="AU32" i="23"/>
  <c r="AU35" i="23" s="1"/>
  <c r="AX10" i="23"/>
  <c r="AW11" i="23"/>
  <c r="BD17" i="12"/>
  <c r="AU17" i="12"/>
  <c r="BB17" i="12"/>
  <c r="BE17" i="12"/>
  <c r="AZ17" i="12"/>
  <c r="BC17" i="12"/>
  <c r="BA17" i="12"/>
  <c r="BE14" i="12"/>
  <c r="BB14" i="12"/>
  <c r="AZ14" i="12"/>
  <c r="BC14" i="12"/>
  <c r="BA14" i="12"/>
  <c r="BD14" i="12"/>
  <c r="AU14" i="12"/>
  <c r="AR30" i="12"/>
  <c r="AS9" i="12"/>
  <c r="BC28" i="12"/>
  <c r="BA28" i="12"/>
  <c r="BD28" i="12"/>
  <c r="AU28" i="12"/>
  <c r="BB28" i="12"/>
  <c r="AZ28" i="12"/>
  <c r="BE28" i="12"/>
  <c r="BA19" i="12"/>
  <c r="BD19" i="12"/>
  <c r="AU19" i="12"/>
  <c r="BC19" i="12"/>
  <c r="BB19" i="12"/>
  <c r="BE19" i="12"/>
  <c r="AZ19" i="12"/>
  <c r="BB23" i="12"/>
  <c r="BE23" i="12"/>
  <c r="AZ23" i="12"/>
  <c r="BC23" i="12"/>
  <c r="BA23" i="12"/>
  <c r="BD23" i="12"/>
  <c r="AU23" i="12"/>
  <c r="BE22" i="12"/>
  <c r="AZ22" i="12"/>
  <c r="BB22" i="12"/>
  <c r="BC22" i="12"/>
  <c r="BA22" i="12"/>
  <c r="BD22" i="12"/>
  <c r="AU22" i="12"/>
  <c r="BA26" i="12"/>
  <c r="BD26" i="12"/>
  <c r="AU26" i="12"/>
  <c r="BB26" i="12"/>
  <c r="BE26" i="12"/>
  <c r="AZ26" i="12"/>
  <c r="BC26" i="12"/>
  <c r="AZ13" i="12"/>
  <c r="BC13" i="12"/>
  <c r="BE13" i="12"/>
  <c r="BA13" i="12"/>
  <c r="BD13" i="12"/>
  <c r="AU13" i="12"/>
  <c r="BB13" i="12"/>
  <c r="BC20" i="12"/>
  <c r="AZ20" i="12"/>
  <c r="BA20" i="12"/>
  <c r="BD20" i="12"/>
  <c r="AU20" i="12"/>
  <c r="BB20" i="12"/>
  <c r="BE20" i="12"/>
  <c r="BA27" i="12"/>
  <c r="BD27" i="12"/>
  <c r="AU27" i="12"/>
  <c r="BB27" i="12"/>
  <c r="BC27" i="12"/>
  <c r="BE27" i="12"/>
  <c r="AZ27" i="12"/>
  <c r="BB15" i="12"/>
  <c r="BE15" i="12"/>
  <c r="AU15" i="12"/>
  <c r="AZ15" i="12"/>
  <c r="BC15" i="12"/>
  <c r="BA15" i="12"/>
  <c r="BD15" i="12"/>
  <c r="BA10" i="12"/>
  <c r="BD10" i="12"/>
  <c r="AU10" i="12"/>
  <c r="BB10" i="12"/>
  <c r="BE10" i="12"/>
  <c r="AZ10" i="12"/>
  <c r="BC10" i="12"/>
  <c r="AU24" i="12"/>
  <c r="BB24" i="12"/>
  <c r="BE24" i="12"/>
  <c r="AZ24" i="12"/>
  <c r="BC24" i="12"/>
  <c r="BA24" i="12"/>
  <c r="BD24" i="12"/>
  <c r="BC12" i="12"/>
  <c r="AZ12" i="12"/>
  <c r="BA12" i="12"/>
  <c r="BD12" i="12"/>
  <c r="AU12" i="12"/>
  <c r="BB12" i="12"/>
  <c r="BE12" i="12"/>
  <c r="AZ21" i="12"/>
  <c r="BE21" i="12"/>
  <c r="BC21" i="12"/>
  <c r="BA21" i="12"/>
  <c r="BD21" i="12"/>
  <c r="AU21" i="12"/>
  <c r="BB21" i="12"/>
  <c r="AU16" i="12"/>
  <c r="BB16" i="12"/>
  <c r="BE16" i="12"/>
  <c r="AZ16" i="12"/>
  <c r="BC16" i="12"/>
  <c r="BD16" i="12"/>
  <c r="BA16" i="12"/>
  <c r="BD25" i="12"/>
  <c r="AU25" i="12"/>
  <c r="BB25" i="12"/>
  <c r="BE25" i="12"/>
  <c r="AZ25" i="12"/>
  <c r="BA25" i="12"/>
  <c r="BC25" i="12"/>
  <c r="BA11" i="12"/>
  <c r="BD11" i="12"/>
  <c r="BC11" i="12"/>
  <c r="AU11" i="12"/>
  <c r="BB11" i="12"/>
  <c r="BE11" i="12"/>
  <c r="AZ11" i="12"/>
  <c r="BA18" i="12"/>
  <c r="BD18" i="12"/>
  <c r="AU18" i="12"/>
  <c r="BB18" i="12"/>
  <c r="BE18" i="12"/>
  <c r="AZ18" i="12"/>
  <c r="BC18" i="12"/>
  <c r="BD26" i="20"/>
  <c r="BB17" i="20"/>
  <c r="BE22" i="20"/>
  <c r="BD12" i="20"/>
  <c r="BA12" i="20"/>
  <c r="BA18" i="20"/>
  <c r="BA26" i="20"/>
  <c r="AU12" i="20"/>
  <c r="AZ28" i="20"/>
  <c r="BC26" i="20"/>
  <c r="BA15" i="20"/>
  <c r="BD18" i="20"/>
  <c r="AW10" i="20"/>
  <c r="AX10" i="20" s="1"/>
  <c r="BE26" i="20"/>
  <c r="AZ15" i="20"/>
  <c r="BC12" i="20"/>
  <c r="BC18" i="20"/>
  <c r="BD22" i="20"/>
  <c r="AZ26" i="20"/>
  <c r="BB26" i="20"/>
  <c r="BE12" i="20"/>
  <c r="AZ18" i="20"/>
  <c r="AZ12" i="20"/>
  <c r="BB24" i="20"/>
  <c r="BB22" i="20"/>
  <c r="BD28" i="20"/>
  <c r="BA24" i="20"/>
  <c r="BD17" i="20"/>
  <c r="BA22" i="20"/>
  <c r="BD24" i="20"/>
  <c r="BC22" i="20"/>
  <c r="AU28" i="20"/>
  <c r="AZ24" i="20"/>
  <c r="AU17" i="20"/>
  <c r="BA28" i="20"/>
  <c r="AU22" i="20"/>
  <c r="BE24" i="20"/>
  <c r="BC28" i="20"/>
  <c r="BA20" i="20"/>
  <c r="AZ20" i="20"/>
  <c r="BC17" i="20"/>
  <c r="AU20" i="20"/>
  <c r="BC20" i="20"/>
  <c r="AU33" i="20"/>
  <c r="BE20" i="20"/>
  <c r="BE17" i="20"/>
  <c r="AS30" i="20"/>
  <c r="AW12" i="10"/>
  <c r="AX10" i="10"/>
  <c r="AX9" i="2"/>
  <c r="AZ17" i="2"/>
  <c r="AZ30" i="2" s="1"/>
  <c r="J6" i="3" s="1"/>
  <c r="BA17" i="2"/>
  <c r="BA30" i="2" s="1"/>
  <c r="J7" i="3" s="1"/>
  <c r="E15" i="3"/>
  <c r="AU17" i="2"/>
  <c r="BD17" i="2"/>
  <c r="BD30" i="2" s="1"/>
  <c r="J10" i="3" s="1"/>
  <c r="BB17" i="2"/>
  <c r="BB30" i="2" s="1"/>
  <c r="J8" i="3" s="1"/>
  <c r="BE17" i="2"/>
  <c r="BE30" i="2" s="1"/>
  <c r="J11" i="3" s="1"/>
  <c r="BC17" i="2"/>
  <c r="BC30" i="2" s="1"/>
  <c r="J9" i="3" s="1"/>
  <c r="AS30" i="2"/>
  <c r="H46" i="1"/>
  <c r="AU33" i="2"/>
  <c r="F9" i="3"/>
  <c r="AW12" i="2"/>
  <c r="AX10" i="2"/>
  <c r="M30" i="24"/>
  <c r="M9" i="13" a="1"/>
  <c r="AH9" i="13" s="1" a="1"/>
  <c r="AH9" i="13" s="1"/>
  <c r="AR30" i="21"/>
  <c r="AS9" i="21"/>
  <c r="C15" i="15" l="1"/>
  <c r="D14" i="15"/>
  <c r="I13" i="26"/>
  <c r="AJ12" i="26"/>
  <c r="AK11" i="26"/>
  <c r="AL11" i="26" s="1"/>
  <c r="F15" i="26"/>
  <c r="D15" i="26"/>
  <c r="C16" i="26"/>
  <c r="I14" i="26"/>
  <c r="F15" i="13"/>
  <c r="D15" i="13"/>
  <c r="G15" i="13" s="1"/>
  <c r="C16" i="13"/>
  <c r="AH30" i="13"/>
  <c r="AQ9" i="13" a="1"/>
  <c r="AQ9" i="13" s="1"/>
  <c r="AQ30" i="13" s="1"/>
  <c r="I14" i="13"/>
  <c r="AW13" i="24"/>
  <c r="AX12" i="24"/>
  <c r="BB30" i="25"/>
  <c r="AW10" i="25"/>
  <c r="AX9" i="25"/>
  <c r="BA30" i="25"/>
  <c r="BC30" i="25"/>
  <c r="BE30" i="25"/>
  <c r="BD30" i="25"/>
  <c r="AZ30" i="25"/>
  <c r="AU30" i="25"/>
  <c r="AW10" i="14"/>
  <c r="AX9" i="14"/>
  <c r="AU32" i="14"/>
  <c r="AU35" i="14" s="1"/>
  <c r="B14" i="5"/>
  <c r="AU32" i="11"/>
  <c r="AU35" i="11" s="1"/>
  <c r="F10" i="5"/>
  <c r="AX9" i="11"/>
  <c r="AW10" i="11"/>
  <c r="E10" i="5"/>
  <c r="AU32" i="22"/>
  <c r="AU35" i="22" s="1"/>
  <c r="AW10" i="22"/>
  <c r="AX9" i="22"/>
  <c r="AW12" i="23"/>
  <c r="AX11" i="23"/>
  <c r="B36" i="5"/>
  <c r="C24" i="5"/>
  <c r="BD9" i="12"/>
  <c r="BD30" i="12" s="1"/>
  <c r="AU9" i="12"/>
  <c r="AU30" i="12" s="1"/>
  <c r="BB9" i="12"/>
  <c r="BB30" i="12" s="1"/>
  <c r="BE9" i="12"/>
  <c r="BE30" i="12" s="1"/>
  <c r="AZ9" i="12"/>
  <c r="AZ30" i="12" s="1"/>
  <c r="BA9" i="12"/>
  <c r="BA30" i="12" s="1"/>
  <c r="BC9" i="12"/>
  <c r="BC30" i="12" s="1"/>
  <c r="AS30" i="12"/>
  <c r="AU33" i="12"/>
  <c r="BD30" i="20"/>
  <c r="BB30" i="20"/>
  <c r="AW11" i="20"/>
  <c r="AX11" i="20" s="1"/>
  <c r="AU30" i="20"/>
  <c r="AZ30" i="20"/>
  <c r="BA30" i="20"/>
  <c r="BE30" i="20"/>
  <c r="BC30" i="20"/>
  <c r="F6" i="5"/>
  <c r="AU32" i="20"/>
  <c r="AU35" i="20" s="1"/>
  <c r="AW12" i="20"/>
  <c r="AW13" i="10"/>
  <c r="AX11" i="10"/>
  <c r="G15" i="3"/>
  <c r="AU30" i="2"/>
  <c r="AX11" i="2"/>
  <c r="AW13" i="2"/>
  <c r="F10" i="3"/>
  <c r="M9" i="13"/>
  <c r="U30" i="13"/>
  <c r="Q30" i="13"/>
  <c r="S30" i="13"/>
  <c r="O30" i="13"/>
  <c r="R30" i="13"/>
  <c r="N30" i="13"/>
  <c r="P30" i="13"/>
  <c r="AS30" i="21"/>
  <c r="BB9" i="21"/>
  <c r="BB30" i="21" s="1"/>
  <c r="BA9" i="21"/>
  <c r="BA30" i="21" s="1"/>
  <c r="AU33" i="21"/>
  <c r="BE9" i="21"/>
  <c r="BE30" i="21" s="1"/>
  <c r="BC9" i="21"/>
  <c r="BC30" i="21" s="1"/>
  <c r="AZ9" i="21"/>
  <c r="AZ30" i="21" s="1"/>
  <c r="BD9" i="21"/>
  <c r="BD30" i="21" s="1"/>
  <c r="AU9" i="21"/>
  <c r="AU30" i="21" s="1"/>
  <c r="C16" i="15" l="1"/>
  <c r="D15" i="15"/>
  <c r="W14" i="26"/>
  <c r="AI14" i="26"/>
  <c r="W13" i="26"/>
  <c r="AI13" i="26"/>
  <c r="AJ13" i="26" s="1"/>
  <c r="F16" i="26"/>
  <c r="C17" i="26"/>
  <c r="D16" i="26"/>
  <c r="G16" i="26" s="1"/>
  <c r="G15" i="26"/>
  <c r="I15" i="26"/>
  <c r="AK12" i="26"/>
  <c r="AL12" i="26" s="1"/>
  <c r="D16" i="13"/>
  <c r="G16" i="13" s="1"/>
  <c r="F16" i="13"/>
  <c r="I16" i="13" s="1"/>
  <c r="C17" i="13"/>
  <c r="I15" i="13"/>
  <c r="AW14" i="24"/>
  <c r="AX13" i="24"/>
  <c r="AU32" i="25"/>
  <c r="AU35" i="25" s="1"/>
  <c r="C14" i="5"/>
  <c r="AW11" i="25"/>
  <c r="AX10" i="25"/>
  <c r="AW11" i="14"/>
  <c r="AX10" i="14"/>
  <c r="AX10" i="11"/>
  <c r="AW11" i="11"/>
  <c r="G24" i="5"/>
  <c r="C36" i="5"/>
  <c r="AW11" i="22"/>
  <c r="AX10" i="22"/>
  <c r="E36" i="5"/>
  <c r="F36" i="5"/>
  <c r="D36" i="5"/>
  <c r="AW13" i="23"/>
  <c r="AX12" i="23"/>
  <c r="B10" i="5"/>
  <c r="AU32" i="12"/>
  <c r="AU35" i="12" s="1"/>
  <c r="AX9" i="12"/>
  <c r="AW10" i="12"/>
  <c r="AW13" i="20"/>
  <c r="AX12" i="20"/>
  <c r="AX12" i="10"/>
  <c r="AW14" i="10"/>
  <c r="H45" i="1"/>
  <c r="AU32" i="2"/>
  <c r="AU35" i="2" s="1"/>
  <c r="D6" i="5"/>
  <c r="AW14" i="2"/>
  <c r="AX12" i="2"/>
  <c r="F11" i="3"/>
  <c r="M30" i="13"/>
  <c r="M9" i="16" a="1"/>
  <c r="C6" i="5"/>
  <c r="AU32" i="21"/>
  <c r="AU35" i="21" s="1"/>
  <c r="AW10" i="21"/>
  <c r="AX9" i="21"/>
  <c r="D16" i="15" l="1"/>
  <c r="C17" i="15"/>
  <c r="AJ14" i="26"/>
  <c r="AK13" i="26"/>
  <c r="AL13" i="26" s="1"/>
  <c r="F17" i="26"/>
  <c r="C18" i="26"/>
  <c r="D17" i="26"/>
  <c r="G17" i="26" s="1"/>
  <c r="I16" i="26"/>
  <c r="W15" i="26"/>
  <c r="AI15" i="26"/>
  <c r="C18" i="13"/>
  <c r="D17" i="13"/>
  <c r="G17" i="13" s="1"/>
  <c r="F17" i="13"/>
  <c r="AW15" i="24"/>
  <c r="AX14" i="24"/>
  <c r="B37" i="5"/>
  <c r="D24" i="5"/>
  <c r="AW12" i="25"/>
  <c r="AX11" i="25"/>
  <c r="AW12" i="14"/>
  <c r="AX11" i="14"/>
  <c r="AW12" i="11"/>
  <c r="AX11" i="11"/>
  <c r="AW12" i="22"/>
  <c r="AX11" i="22"/>
  <c r="J36" i="5"/>
  <c r="L36" i="5" s="1"/>
  <c r="AW14" i="23"/>
  <c r="AX13" i="23"/>
  <c r="AX10" i="12"/>
  <c r="AW11" i="12"/>
  <c r="AW14" i="20"/>
  <c r="AX13" i="20"/>
  <c r="AW15" i="10"/>
  <c r="AX13" i="10"/>
  <c r="D14" i="5"/>
  <c r="D18" i="5"/>
  <c r="D10" i="5"/>
  <c r="J45" i="1"/>
  <c r="H48" i="1"/>
  <c r="J48" i="1" s="1"/>
  <c r="AX13" i="2"/>
  <c r="F12" i="3"/>
  <c r="AW15" i="2"/>
  <c r="M9" i="16"/>
  <c r="O30" i="16"/>
  <c r="U30" i="16"/>
  <c r="Q30" i="16"/>
  <c r="N30" i="16"/>
  <c r="P30" i="16"/>
  <c r="S30" i="16"/>
  <c r="R30" i="16"/>
  <c r="B35" i="5"/>
  <c r="B24" i="5"/>
  <c r="AX10" i="21"/>
  <c r="AW11" i="21"/>
  <c r="C18" i="15" l="1"/>
  <c r="D17" i="15"/>
  <c r="W16" i="26"/>
  <c r="AI16" i="26"/>
  <c r="C19" i="26"/>
  <c r="D18" i="26"/>
  <c r="G18" i="26" s="1"/>
  <c r="F18" i="26"/>
  <c r="I18" i="26" s="1"/>
  <c r="AJ15" i="26"/>
  <c r="AK14" i="26"/>
  <c r="AL14" i="26" s="1"/>
  <c r="I17" i="26"/>
  <c r="I17" i="13"/>
  <c r="C19" i="13"/>
  <c r="F18" i="13"/>
  <c r="D18" i="13"/>
  <c r="G18" i="13" s="1"/>
  <c r="AW16" i="24"/>
  <c r="AX15" i="24"/>
  <c r="AW13" i="25"/>
  <c r="AX12" i="25"/>
  <c r="F37" i="5"/>
  <c r="E37" i="5"/>
  <c r="D37" i="5"/>
  <c r="AW13" i="14"/>
  <c r="AX12" i="14"/>
  <c r="AW13" i="11"/>
  <c r="AX12" i="11"/>
  <c r="AW13" i="22"/>
  <c r="AX12" i="22"/>
  <c r="K36" i="5"/>
  <c r="AW15" i="23"/>
  <c r="AX14" i="23"/>
  <c r="AW12" i="12"/>
  <c r="AX11" i="12"/>
  <c r="AW15" i="20"/>
  <c r="AX14" i="20"/>
  <c r="AW16" i="10"/>
  <c r="AX14" i="10"/>
  <c r="F13" i="3"/>
  <c r="AX14" i="2"/>
  <c r="AW16" i="2"/>
  <c r="M30" i="16"/>
  <c r="M9" i="27" a="1"/>
  <c r="AW12" i="21"/>
  <c r="AX11" i="21"/>
  <c r="B26" i="5"/>
  <c r="E26" i="5"/>
  <c r="D26" i="5"/>
  <c r="C26" i="5"/>
  <c r="J24" i="5"/>
  <c r="E35" i="5"/>
  <c r="D35" i="5"/>
  <c r="F35" i="5"/>
  <c r="C19" i="15" l="1"/>
  <c r="D18" i="15"/>
  <c r="AI18" i="26"/>
  <c r="W18" i="26"/>
  <c r="D19" i="26"/>
  <c r="G19" i="26" s="1"/>
  <c r="F19" i="26"/>
  <c r="I19" i="26" s="1"/>
  <c r="C20" i="26"/>
  <c r="AI17" i="26"/>
  <c r="W17" i="26"/>
  <c r="AJ16" i="26"/>
  <c r="AK15" i="26"/>
  <c r="AL15" i="26" s="1"/>
  <c r="D19" i="13"/>
  <c r="G19" i="13" s="1"/>
  <c r="F19" i="13"/>
  <c r="C20" i="13"/>
  <c r="I18" i="13"/>
  <c r="AW17" i="24"/>
  <c r="AX16" i="24"/>
  <c r="J37" i="5"/>
  <c r="L37" i="5" s="1"/>
  <c r="AW14" i="25"/>
  <c r="AX13" i="25"/>
  <c r="AW14" i="14"/>
  <c r="AX13" i="14"/>
  <c r="AW14" i="11"/>
  <c r="AX13" i="11"/>
  <c r="AW14" i="22"/>
  <c r="AX13" i="22"/>
  <c r="AW16" i="23"/>
  <c r="AX15" i="23"/>
  <c r="AW13" i="12"/>
  <c r="AX12" i="12"/>
  <c r="AW16" i="20"/>
  <c r="AX15" i="20"/>
  <c r="AX15" i="10"/>
  <c r="AW17" i="10"/>
  <c r="AX15" i="2"/>
  <c r="F14" i="3"/>
  <c r="AW17" i="2"/>
  <c r="M9" i="27"/>
  <c r="R30" i="27"/>
  <c r="O30" i="27"/>
  <c r="P30" i="27"/>
  <c r="S30" i="27"/>
  <c r="U30" i="27"/>
  <c r="N30" i="27"/>
  <c r="Q30" i="27"/>
  <c r="AW13" i="21"/>
  <c r="AX12" i="21"/>
  <c r="D29" i="5"/>
  <c r="C28" i="5"/>
  <c r="B29" i="5"/>
  <c r="J29" i="5" s="1"/>
  <c r="E28" i="5"/>
  <c r="E29" i="5"/>
  <c r="D28" i="5"/>
  <c r="C29" i="5"/>
  <c r="B28" i="5"/>
  <c r="J28" i="5" s="1"/>
  <c r="J35" i="5"/>
  <c r="C20" i="15" l="1"/>
  <c r="D19" i="15"/>
  <c r="C21" i="26"/>
  <c r="F20" i="26"/>
  <c r="D20" i="26"/>
  <c r="G20" i="26" s="1"/>
  <c r="AJ17" i="26"/>
  <c r="AK16" i="26"/>
  <c r="AL16" i="26" s="1"/>
  <c r="AI19" i="26"/>
  <c r="W19" i="26"/>
  <c r="C21" i="13"/>
  <c r="D20" i="13"/>
  <c r="G20" i="13" s="1"/>
  <c r="F20" i="13"/>
  <c r="I19" i="13"/>
  <c r="M30" i="27"/>
  <c r="M9" i="26" a="1"/>
  <c r="AW18" i="24"/>
  <c r="AX17" i="24"/>
  <c r="K37" i="5"/>
  <c r="AW15" i="25"/>
  <c r="AX14" i="25"/>
  <c r="AW15" i="14"/>
  <c r="AX14" i="14"/>
  <c r="AW15" i="11"/>
  <c r="AX14" i="11"/>
  <c r="AW15" i="22"/>
  <c r="AX14" i="22"/>
  <c r="AW17" i="23"/>
  <c r="AX16" i="23"/>
  <c r="AW14" i="12"/>
  <c r="AX13" i="12"/>
  <c r="AW17" i="20"/>
  <c r="AX16" i="20"/>
  <c r="AW18" i="10"/>
  <c r="AX16" i="10"/>
  <c r="F15" i="3"/>
  <c r="AX16" i="2"/>
  <c r="AW18" i="2"/>
  <c r="AW14" i="21"/>
  <c r="AX13" i="21"/>
  <c r="L35" i="5"/>
  <c r="K35" i="5"/>
  <c r="D20" i="15" l="1"/>
  <c r="C21" i="15"/>
  <c r="AJ18" i="26"/>
  <c r="AK17" i="26"/>
  <c r="AL17" i="26" s="1"/>
  <c r="AH15" i="26"/>
  <c r="AH23" i="26"/>
  <c r="AH16" i="26"/>
  <c r="AH24" i="26"/>
  <c r="AH22" i="26"/>
  <c r="AH17" i="26"/>
  <c r="AH25" i="26"/>
  <c r="AH10" i="26"/>
  <c r="AH18" i="26"/>
  <c r="AH26" i="26"/>
  <c r="AH11" i="26"/>
  <c r="AH19" i="26"/>
  <c r="AH27" i="26"/>
  <c r="AH14" i="26"/>
  <c r="AH12" i="26"/>
  <c r="AH20" i="26"/>
  <c r="AH13" i="26"/>
  <c r="AH21" i="26"/>
  <c r="I20" i="26"/>
  <c r="C22" i="26"/>
  <c r="D21" i="26"/>
  <c r="G21" i="26" s="1"/>
  <c r="F21" i="26"/>
  <c r="I21" i="26" s="1"/>
  <c r="I20" i="13"/>
  <c r="F21" i="13"/>
  <c r="I21" i="13" s="1"/>
  <c r="D21" i="13"/>
  <c r="G21" i="13" s="1"/>
  <c r="C22" i="13"/>
  <c r="M9" i="26"/>
  <c r="AH9" i="26" s="1"/>
  <c r="T16" i="26"/>
  <c r="T24" i="26"/>
  <c r="T23" i="26"/>
  <c r="T17" i="26"/>
  <c r="T25" i="26"/>
  <c r="T15" i="26"/>
  <c r="T10" i="26"/>
  <c r="T18" i="26"/>
  <c r="T26" i="26"/>
  <c r="T11" i="26"/>
  <c r="T19" i="26"/>
  <c r="T27" i="26"/>
  <c r="S30" i="26"/>
  <c r="T12" i="26"/>
  <c r="T20" i="26"/>
  <c r="R30" i="26"/>
  <c r="N30" i="26"/>
  <c r="T13" i="26"/>
  <c r="T21" i="26"/>
  <c r="O30" i="26"/>
  <c r="Q30" i="26"/>
  <c r="T14" i="26"/>
  <c r="T22" i="26"/>
  <c r="P30" i="26"/>
  <c r="AW19" i="24"/>
  <c r="AX18" i="24"/>
  <c r="AW16" i="25"/>
  <c r="AX15" i="25"/>
  <c r="AW16" i="14"/>
  <c r="AX15" i="14"/>
  <c r="AW16" i="11"/>
  <c r="AX15" i="11"/>
  <c r="AW16" i="22"/>
  <c r="AX15" i="22"/>
  <c r="AW18" i="23"/>
  <c r="AX17" i="23"/>
  <c r="AW15" i="12"/>
  <c r="AX14" i="12"/>
  <c r="AW18" i="20"/>
  <c r="AX17" i="20"/>
  <c r="AW19" i="10"/>
  <c r="AX17" i="10"/>
  <c r="AW19" i="2"/>
  <c r="F16" i="3"/>
  <c r="AX17" i="2"/>
  <c r="AW15" i="21"/>
  <c r="AX14" i="21"/>
  <c r="C22" i="15" l="1"/>
  <c r="D21" i="15"/>
  <c r="W21" i="26"/>
  <c r="AI21" i="26"/>
  <c r="D22" i="26"/>
  <c r="G22" i="26" s="1"/>
  <c r="F22" i="26"/>
  <c r="C23" i="26"/>
  <c r="AI20" i="26"/>
  <c r="W20" i="26"/>
  <c r="AJ19" i="26"/>
  <c r="AK18" i="26"/>
  <c r="AL18" i="26" s="1"/>
  <c r="F22" i="13"/>
  <c r="C23" i="13"/>
  <c r="D22" i="13"/>
  <c r="G22" i="13" s="1"/>
  <c r="M30" i="26"/>
  <c r="T9" i="26"/>
  <c r="T30" i="26" s="1"/>
  <c r="AW20" i="24"/>
  <c r="AX19" i="24"/>
  <c r="AW17" i="25"/>
  <c r="AX16" i="25"/>
  <c r="AW17" i="14"/>
  <c r="AX16" i="14"/>
  <c r="AW17" i="11"/>
  <c r="AX16" i="11"/>
  <c r="AW17" i="22"/>
  <c r="AX16" i="22"/>
  <c r="AW19" i="23"/>
  <c r="AX18" i="23"/>
  <c r="AW16" i="12"/>
  <c r="AX15" i="12"/>
  <c r="AW19" i="20"/>
  <c r="AX18" i="20"/>
  <c r="AW20" i="10"/>
  <c r="AX18" i="10"/>
  <c r="AW20" i="2"/>
  <c r="AX18" i="2"/>
  <c r="F17" i="3"/>
  <c r="AW16" i="21"/>
  <c r="AX15" i="21"/>
  <c r="C23" i="15" l="1"/>
  <c r="D22" i="15"/>
  <c r="AJ20" i="26"/>
  <c r="AK19" i="26"/>
  <c r="AL19" i="26" s="1"/>
  <c r="I22" i="26"/>
  <c r="F23" i="26"/>
  <c r="C24" i="26"/>
  <c r="D23" i="26"/>
  <c r="G23" i="26" s="1"/>
  <c r="I22" i="13"/>
  <c r="F23" i="13"/>
  <c r="C24" i="13"/>
  <c r="D23" i="13"/>
  <c r="G23" i="13" s="1"/>
  <c r="AW21" i="24"/>
  <c r="AX20" i="24"/>
  <c r="AW18" i="25"/>
  <c r="AX17" i="25"/>
  <c r="AW18" i="14"/>
  <c r="AX17" i="14"/>
  <c r="AW18" i="11"/>
  <c r="AX17" i="11"/>
  <c r="AW18" i="22"/>
  <c r="AX17" i="22"/>
  <c r="AW20" i="23"/>
  <c r="AX19" i="23"/>
  <c r="AW17" i="12"/>
  <c r="AX16" i="12"/>
  <c r="AW20" i="20"/>
  <c r="AX19" i="20"/>
  <c r="AW21" i="10"/>
  <c r="AX19" i="10"/>
  <c r="AW21" i="2"/>
  <c r="F18" i="3"/>
  <c r="AX19" i="2"/>
  <c r="AX16" i="21"/>
  <c r="AW17" i="21"/>
  <c r="C24" i="15" l="1"/>
  <c r="D23" i="15"/>
  <c r="D24" i="26"/>
  <c r="G24" i="26" s="1"/>
  <c r="F24" i="26"/>
  <c r="I24" i="26" s="1"/>
  <c r="C25" i="26"/>
  <c r="I23" i="26"/>
  <c r="W22" i="26"/>
  <c r="AI22" i="26"/>
  <c r="AJ21" i="26"/>
  <c r="AK20" i="26"/>
  <c r="AL20" i="26" s="1"/>
  <c r="I23" i="13"/>
  <c r="F24" i="13"/>
  <c r="I24" i="13" s="1"/>
  <c r="D24" i="13"/>
  <c r="G24" i="13" s="1"/>
  <c r="C25" i="13"/>
  <c r="AW22" i="24"/>
  <c r="AX21" i="24"/>
  <c r="AW19" i="25"/>
  <c r="AX18" i="25"/>
  <c r="AW19" i="14"/>
  <c r="AX18" i="14"/>
  <c r="AW19" i="11"/>
  <c r="AX18" i="11"/>
  <c r="AW19" i="22"/>
  <c r="AX18" i="22"/>
  <c r="AW21" i="23"/>
  <c r="AX20" i="23"/>
  <c r="AW18" i="12"/>
  <c r="AX17" i="12"/>
  <c r="AW21" i="20"/>
  <c r="AX20" i="20"/>
  <c r="AX20" i="10"/>
  <c r="AW22" i="10"/>
  <c r="F19" i="3"/>
  <c r="AX20" i="2"/>
  <c r="AW22" i="2"/>
  <c r="AX17" i="21"/>
  <c r="AW18" i="21"/>
  <c r="D24" i="15" l="1"/>
  <c r="C25" i="15"/>
  <c r="W24" i="26"/>
  <c r="AI24" i="26"/>
  <c r="AJ22" i="26"/>
  <c r="AK21" i="26"/>
  <c r="AL21" i="26" s="1"/>
  <c r="W23" i="26"/>
  <c r="AI23" i="26"/>
  <c r="F25" i="26"/>
  <c r="I25" i="26" s="1"/>
  <c r="C26" i="26"/>
  <c r="D25" i="26"/>
  <c r="G25" i="26" s="1"/>
  <c r="D25" i="13"/>
  <c r="G25" i="13" s="1"/>
  <c r="C26" i="13"/>
  <c r="F25" i="13"/>
  <c r="AW23" i="24"/>
  <c r="AX22" i="24"/>
  <c r="AW20" i="25"/>
  <c r="AX19" i="25"/>
  <c r="AW20" i="14"/>
  <c r="AX19" i="14"/>
  <c r="AW20" i="11"/>
  <c r="AX19" i="11"/>
  <c r="AW20" i="22"/>
  <c r="AX19" i="22"/>
  <c r="AW22" i="23"/>
  <c r="AX21" i="23"/>
  <c r="AW19" i="12"/>
  <c r="AX18" i="12"/>
  <c r="AW22" i="20"/>
  <c r="AX21" i="20"/>
  <c r="AW23" i="10"/>
  <c r="AX21" i="10"/>
  <c r="AX21" i="2"/>
  <c r="F20" i="3"/>
  <c r="AW23" i="2"/>
  <c r="AW19" i="21"/>
  <c r="AX18" i="21"/>
  <c r="C26" i="15" l="1"/>
  <c r="D25" i="15"/>
  <c r="F26" i="26"/>
  <c r="I26" i="26" s="1"/>
  <c r="C27" i="26"/>
  <c r="D26" i="26"/>
  <c r="G26" i="26" s="1"/>
  <c r="AI25" i="26"/>
  <c r="W25" i="26"/>
  <c r="AJ23" i="26"/>
  <c r="AK22" i="26"/>
  <c r="AL22" i="26" s="1"/>
  <c r="I25" i="13"/>
  <c r="C27" i="13"/>
  <c r="D26" i="13"/>
  <c r="G26" i="13" s="1"/>
  <c r="F26" i="13"/>
  <c r="I26" i="13" s="1"/>
  <c r="AW24" i="24"/>
  <c r="AX23" i="24"/>
  <c r="AW21" i="25"/>
  <c r="AX20" i="25"/>
  <c r="AW21" i="14"/>
  <c r="AX20" i="14"/>
  <c r="AW21" i="11"/>
  <c r="AX20" i="11"/>
  <c r="AW21" i="22"/>
  <c r="AX20" i="22"/>
  <c r="AW23" i="23"/>
  <c r="AX22" i="23"/>
  <c r="AW20" i="12"/>
  <c r="AX19" i="12"/>
  <c r="AW23" i="20"/>
  <c r="AX22" i="20"/>
  <c r="AX22" i="10"/>
  <c r="AW24" i="10"/>
  <c r="AW24" i="2"/>
  <c r="AX22" i="2"/>
  <c r="F21" i="3"/>
  <c r="AW20" i="21"/>
  <c r="AX19" i="21"/>
  <c r="C27" i="15" l="1"/>
  <c r="D26" i="15"/>
  <c r="F27" i="26"/>
  <c r="D27" i="26"/>
  <c r="G27" i="26" s="1"/>
  <c r="C28" i="26"/>
  <c r="AI26" i="26"/>
  <c r="W26" i="26"/>
  <c r="AJ24" i="26"/>
  <c r="AK23" i="26"/>
  <c r="AL23" i="26" s="1"/>
  <c r="C28" i="13"/>
  <c r="D27" i="13"/>
  <c r="G27" i="13" s="1"/>
  <c r="F27" i="13"/>
  <c r="I27" i="13" s="1"/>
  <c r="AW25" i="24"/>
  <c r="AX24" i="24"/>
  <c r="AW22" i="25"/>
  <c r="AX21" i="25"/>
  <c r="AW22" i="14"/>
  <c r="AX21" i="14"/>
  <c r="AW22" i="11"/>
  <c r="AX21" i="11"/>
  <c r="AW22" i="22"/>
  <c r="AX21" i="22"/>
  <c r="AW24" i="23"/>
  <c r="AX23" i="23"/>
  <c r="AW21" i="12"/>
  <c r="AX20" i="12"/>
  <c r="AW24" i="20"/>
  <c r="AX23" i="20"/>
  <c r="AX23" i="10"/>
  <c r="AW25" i="10"/>
  <c r="AX23" i="2"/>
  <c r="F22" i="3"/>
  <c r="AW25" i="2"/>
  <c r="AW21" i="21"/>
  <c r="AX20" i="21"/>
  <c r="C28" i="15" l="1"/>
  <c r="D27" i="15"/>
  <c r="I27" i="26"/>
  <c r="AJ25" i="26"/>
  <c r="AK24" i="26"/>
  <c r="AL24" i="26" s="1"/>
  <c r="D28" i="26"/>
  <c r="F28" i="26"/>
  <c r="C30" i="26"/>
  <c r="D28" i="13"/>
  <c r="F28" i="13"/>
  <c r="C30" i="13"/>
  <c r="AW26" i="24"/>
  <c r="AX25" i="24"/>
  <c r="AW23" i="25"/>
  <c r="AX22" i="25"/>
  <c r="AW23" i="14"/>
  <c r="AX22" i="14"/>
  <c r="AW23" i="11"/>
  <c r="AX22" i="11"/>
  <c r="AW23" i="22"/>
  <c r="AX22" i="22"/>
  <c r="AW25" i="23"/>
  <c r="AX24" i="23"/>
  <c r="AW22" i="12"/>
  <c r="AX21" i="12"/>
  <c r="AW25" i="20"/>
  <c r="AX24" i="20"/>
  <c r="AW26" i="10"/>
  <c r="AX24" i="10"/>
  <c r="F23" i="3"/>
  <c r="AW26" i="2"/>
  <c r="AX24" i="2"/>
  <c r="AW22" i="21"/>
  <c r="AX21" i="21"/>
  <c r="D28" i="15" l="1"/>
  <c r="D30" i="15" s="1"/>
  <c r="C30" i="15"/>
  <c r="F30" i="26"/>
  <c r="G28" i="26"/>
  <c r="I28" i="26" s="1"/>
  <c r="D30" i="26"/>
  <c r="AJ26" i="26"/>
  <c r="AK25" i="26"/>
  <c r="AL25" i="26" s="1"/>
  <c r="AI27" i="26"/>
  <c r="W27" i="26"/>
  <c r="F30" i="13"/>
  <c r="G28" i="13"/>
  <c r="G30" i="13" s="1"/>
  <c r="D30" i="13"/>
  <c r="AW27" i="24"/>
  <c r="AX26" i="24"/>
  <c r="AW24" i="25"/>
  <c r="AX23" i="25"/>
  <c r="AW24" i="14"/>
  <c r="AX23" i="14"/>
  <c r="AW24" i="11"/>
  <c r="AX23" i="11"/>
  <c r="AW24" i="22"/>
  <c r="AX23" i="22"/>
  <c r="AW26" i="23"/>
  <c r="AX25" i="23"/>
  <c r="AW23" i="12"/>
  <c r="AX22" i="12"/>
  <c r="AW26" i="20"/>
  <c r="AX25" i="20"/>
  <c r="AW27" i="10"/>
  <c r="AX25" i="10"/>
  <c r="AW27" i="2"/>
  <c r="AX25" i="2"/>
  <c r="F24" i="3"/>
  <c r="AW23" i="21"/>
  <c r="AX22" i="21"/>
  <c r="W28" i="26" l="1"/>
  <c r="AI28" i="26"/>
  <c r="I30" i="26"/>
  <c r="H28" i="26"/>
  <c r="G30" i="26"/>
  <c r="AJ27" i="26"/>
  <c r="AK26" i="26"/>
  <c r="AL26" i="26" s="1"/>
  <c r="I28" i="13"/>
  <c r="AW28" i="24"/>
  <c r="AX28" i="24" s="1"/>
  <c r="AX30" i="24" s="1"/>
  <c r="AU34" i="24" s="1"/>
  <c r="AX27" i="24"/>
  <c r="AW25" i="25"/>
  <c r="AX24" i="25"/>
  <c r="AW25" i="14"/>
  <c r="AX24" i="14"/>
  <c r="AW25" i="11"/>
  <c r="AX24" i="11"/>
  <c r="AW25" i="22"/>
  <c r="AX24" i="22"/>
  <c r="AW27" i="23"/>
  <c r="AX26" i="23"/>
  <c r="AW24" i="12"/>
  <c r="AX23" i="12"/>
  <c r="AW27" i="20"/>
  <c r="AX26" i="20"/>
  <c r="AW28" i="10"/>
  <c r="AX26" i="10"/>
  <c r="F25" i="3"/>
  <c r="AX26" i="2"/>
  <c r="AW28" i="2"/>
  <c r="AW24" i="21"/>
  <c r="AX23" i="21"/>
  <c r="AJ28" i="26" l="1"/>
  <c r="AK28" i="26" s="1"/>
  <c r="AK27" i="26"/>
  <c r="AL27" i="26" s="1"/>
  <c r="W9" i="13" a="1"/>
  <c r="I30" i="13"/>
  <c r="AW26" i="25"/>
  <c r="AX25" i="25"/>
  <c r="AW26" i="14"/>
  <c r="AX25" i="14"/>
  <c r="AW26" i="11"/>
  <c r="AX25" i="11"/>
  <c r="AW26" i="22"/>
  <c r="AX25" i="22"/>
  <c r="AW28" i="23"/>
  <c r="AX28" i="23" s="1"/>
  <c r="AX27" i="23"/>
  <c r="AW25" i="12"/>
  <c r="AX24" i="12"/>
  <c r="AW28" i="20"/>
  <c r="AX28" i="20" s="1"/>
  <c r="AX27" i="20"/>
  <c r="AX28" i="10"/>
  <c r="AX27" i="10"/>
  <c r="AX28" i="2"/>
  <c r="F26" i="3"/>
  <c r="AX27" i="2"/>
  <c r="AX24" i="21"/>
  <c r="AW25" i="21"/>
  <c r="W9" i="13" l="1"/>
  <c r="AK11" i="13"/>
  <c r="AL11" i="13" s="1"/>
  <c r="AK19" i="13"/>
  <c r="AL19" i="13" s="1"/>
  <c r="AK27" i="13"/>
  <c r="AL27" i="13" s="1"/>
  <c r="AK12" i="13"/>
  <c r="AL12" i="13" s="1"/>
  <c r="AK20" i="13"/>
  <c r="AL20" i="13" s="1"/>
  <c r="AK28" i="13"/>
  <c r="AL28" i="13" s="1"/>
  <c r="AK13" i="13"/>
  <c r="AL13" i="13" s="1"/>
  <c r="AK21" i="13"/>
  <c r="AL21" i="13" s="1"/>
  <c r="AK14" i="13"/>
  <c r="AL14" i="13" s="1"/>
  <c r="AK22" i="13"/>
  <c r="AL22" i="13" s="1"/>
  <c r="AK15" i="13"/>
  <c r="AL15" i="13" s="1"/>
  <c r="AK23" i="13"/>
  <c r="AL23" i="13" s="1"/>
  <c r="AK10" i="13"/>
  <c r="AL10" i="13" s="1"/>
  <c r="AK16" i="13"/>
  <c r="AL16" i="13" s="1"/>
  <c r="AK24" i="13"/>
  <c r="AL24" i="13" s="1"/>
  <c r="AK26" i="13"/>
  <c r="AL26" i="13" s="1"/>
  <c r="AK17" i="13"/>
  <c r="AK25" i="13"/>
  <c r="AL25" i="13" s="1"/>
  <c r="AK18" i="13"/>
  <c r="AL18" i="13" s="1"/>
  <c r="AW27" i="25"/>
  <c r="AX26" i="25"/>
  <c r="AW27" i="14"/>
  <c r="AX26" i="14"/>
  <c r="AW27" i="11"/>
  <c r="AX26" i="11"/>
  <c r="AW27" i="22"/>
  <c r="AX26" i="22"/>
  <c r="AX30" i="23"/>
  <c r="AU34" i="23" s="1"/>
  <c r="AW26" i="12"/>
  <c r="AX25" i="12"/>
  <c r="AX30" i="20"/>
  <c r="AU34" i="20" s="1"/>
  <c r="AX30" i="10"/>
  <c r="AU34" i="10" s="1"/>
  <c r="AX30" i="2"/>
  <c r="AW26" i="21"/>
  <c r="AX25" i="21"/>
  <c r="AL17" i="13" l="1"/>
  <c r="W30" i="13"/>
  <c r="AK9" i="13"/>
  <c r="AL9" i="13" s="1"/>
  <c r="AR9" i="13" s="1" a="1"/>
  <c r="AR9" i="13" s="1"/>
  <c r="AR30" i="13" s="1"/>
  <c r="AO9" i="13" a="1"/>
  <c r="AW28" i="25"/>
  <c r="AX28" i="25" s="1"/>
  <c r="AX27" i="25"/>
  <c r="AW28" i="14"/>
  <c r="AX28" i="14" s="1"/>
  <c r="AX27" i="14"/>
  <c r="AW28" i="11"/>
  <c r="AX28" i="11" s="1"/>
  <c r="AX27" i="11"/>
  <c r="AW28" i="22"/>
  <c r="AX28" i="22" s="1"/>
  <c r="AX27" i="22"/>
  <c r="AW27" i="12"/>
  <c r="AX26" i="12"/>
  <c r="H47" i="1"/>
  <c r="J47" i="1" s="1"/>
  <c r="AU34" i="2"/>
  <c r="AW27" i="21"/>
  <c r="AX26" i="21"/>
  <c r="AO9" i="13" l="1"/>
  <c r="AS12" i="13"/>
  <c r="AS20" i="13"/>
  <c r="AS28" i="13"/>
  <c r="AS19" i="13"/>
  <c r="AS13" i="13"/>
  <c r="AS21" i="13"/>
  <c r="AS14" i="13"/>
  <c r="AS22" i="13"/>
  <c r="AS27" i="13"/>
  <c r="AS15" i="13"/>
  <c r="AS23" i="13"/>
  <c r="AS16" i="13"/>
  <c r="AS24" i="13"/>
  <c r="AS11" i="13"/>
  <c r="AS17" i="13"/>
  <c r="AS25" i="13"/>
  <c r="AS10" i="13"/>
  <c r="AS18" i="13"/>
  <c r="AS26" i="13"/>
  <c r="AL30" i="13"/>
  <c r="AK30" i="13"/>
  <c r="AX30" i="25"/>
  <c r="AU34" i="25" s="1"/>
  <c r="AX30" i="14"/>
  <c r="AU34" i="14" s="1"/>
  <c r="AX30" i="11"/>
  <c r="AU34" i="11" s="1"/>
  <c r="AX30" i="22"/>
  <c r="AU34" i="22" s="1"/>
  <c r="AW28" i="12"/>
  <c r="AX28" i="12" s="1"/>
  <c r="AX27" i="12"/>
  <c r="AX27" i="21"/>
  <c r="AW28" i="21"/>
  <c r="AX28" i="21" s="1"/>
  <c r="AU17" i="13" l="1"/>
  <c r="BE17" i="13"/>
  <c r="BC17" i="13"/>
  <c r="BA17" i="13"/>
  <c r="BD17" i="13"/>
  <c r="BB17" i="13"/>
  <c r="AZ17" i="13"/>
  <c r="AU11" i="13"/>
  <c r="BA11" i="13"/>
  <c r="BD11" i="13"/>
  <c r="BC11" i="13"/>
  <c r="BE11" i="13"/>
  <c r="AZ11" i="13"/>
  <c r="BB11" i="13"/>
  <c r="AU16" i="13"/>
  <c r="BE16" i="13"/>
  <c r="BC16" i="13"/>
  <c r="BA16" i="13"/>
  <c r="BD16" i="13"/>
  <c r="BB16" i="13"/>
  <c r="AZ16" i="13"/>
  <c r="AU23" i="13"/>
  <c r="BD23" i="13"/>
  <c r="BC23" i="13"/>
  <c r="BA23" i="13"/>
  <c r="BB23" i="13"/>
  <c r="AZ23" i="13"/>
  <c r="BE23" i="13"/>
  <c r="AU15" i="13"/>
  <c r="BB15" i="13"/>
  <c r="AZ15" i="13"/>
  <c r="BD15" i="13"/>
  <c r="BC15" i="13"/>
  <c r="BE15" i="13"/>
  <c r="BA15" i="13"/>
  <c r="AU10" i="13"/>
  <c r="BE10" i="13"/>
  <c r="BC10" i="13"/>
  <c r="BA10" i="13"/>
  <c r="AZ10" i="13"/>
  <c r="BD10" i="13"/>
  <c r="BB10" i="13"/>
  <c r="AU27" i="13"/>
  <c r="BE27" i="13"/>
  <c r="BC27" i="13"/>
  <c r="BA27" i="13"/>
  <c r="BB27" i="13"/>
  <c r="BD27" i="13"/>
  <c r="AZ27" i="13"/>
  <c r="AU12" i="13"/>
  <c r="BD12" i="13"/>
  <c r="BB12" i="13"/>
  <c r="AZ12" i="13"/>
  <c r="BE12" i="13"/>
  <c r="BC12" i="13"/>
  <c r="BA12" i="13"/>
  <c r="AU14" i="13"/>
  <c r="BD14" i="13"/>
  <c r="BB14" i="13"/>
  <c r="AZ14" i="13"/>
  <c r="BA14" i="13"/>
  <c r="BE14" i="13"/>
  <c r="BC14" i="13"/>
  <c r="AU21" i="13"/>
  <c r="BD21" i="13"/>
  <c r="BB21" i="13"/>
  <c r="AZ21" i="13"/>
  <c r="BE21" i="13"/>
  <c r="BC21" i="13"/>
  <c r="BA21" i="13"/>
  <c r="AU24" i="13"/>
  <c r="BE24" i="13"/>
  <c r="BC24" i="13"/>
  <c r="BA24" i="13"/>
  <c r="BD24" i="13"/>
  <c r="BB24" i="13"/>
  <c r="AZ24" i="13"/>
  <c r="AU13" i="13"/>
  <c r="BD13" i="13"/>
  <c r="BB13" i="13"/>
  <c r="AZ13" i="13"/>
  <c r="BE13" i="13"/>
  <c r="BC13" i="13"/>
  <c r="BA13" i="13"/>
  <c r="AU19" i="13"/>
  <c r="BC19" i="13"/>
  <c r="BE19" i="13"/>
  <c r="BD19" i="13"/>
  <c r="AZ19" i="13"/>
  <c r="BA19" i="13"/>
  <c r="BB19" i="13"/>
  <c r="AU26" i="13"/>
  <c r="BE26" i="13"/>
  <c r="BC26" i="13"/>
  <c r="BA26" i="13"/>
  <c r="BD26" i="13"/>
  <c r="AZ26" i="13"/>
  <c r="BB26" i="13"/>
  <c r="AU28" i="13"/>
  <c r="BD28" i="13"/>
  <c r="BB28" i="13"/>
  <c r="AZ28" i="13"/>
  <c r="BE28" i="13"/>
  <c r="BC28" i="13"/>
  <c r="BA28" i="13"/>
  <c r="AU18" i="13"/>
  <c r="BE18" i="13"/>
  <c r="BC18" i="13"/>
  <c r="BA18" i="13"/>
  <c r="BB18" i="13"/>
  <c r="BD18" i="13"/>
  <c r="AZ18" i="13"/>
  <c r="AU20" i="13"/>
  <c r="BD20" i="13"/>
  <c r="BB20" i="13"/>
  <c r="AZ20" i="13"/>
  <c r="BE20" i="13"/>
  <c r="BC20" i="13"/>
  <c r="BA20" i="13"/>
  <c r="AU25" i="13"/>
  <c r="BE25" i="13"/>
  <c r="BC25" i="13"/>
  <c r="BA25" i="13"/>
  <c r="BD25" i="13"/>
  <c r="BB25" i="13"/>
  <c r="AZ25" i="13"/>
  <c r="AU22" i="13"/>
  <c r="BD22" i="13"/>
  <c r="BB22" i="13"/>
  <c r="AZ22" i="13"/>
  <c r="BE22" i="13"/>
  <c r="BC22" i="13"/>
  <c r="BA22" i="13"/>
  <c r="AO30" i="13"/>
  <c r="AS9" i="13"/>
  <c r="AX30" i="12"/>
  <c r="AU34" i="12" s="1"/>
  <c r="AX30" i="21"/>
  <c r="AU34" i="21" s="1"/>
  <c r="W30" i="26"/>
  <c r="AH30" i="26"/>
  <c r="AI30" i="26"/>
  <c r="AO30" i="26"/>
  <c r="BE9" i="13" l="1"/>
  <c r="BE30" i="13" s="1"/>
  <c r="BC9" i="13"/>
  <c r="BC30" i="13" s="1"/>
  <c r="BA9" i="13"/>
  <c r="BA30" i="13" s="1"/>
  <c r="AW9" i="13"/>
  <c r="BD9" i="13"/>
  <c r="BD30" i="13" s="1"/>
  <c r="BB9" i="13"/>
  <c r="BB30" i="13" s="1"/>
  <c r="AZ9" i="13"/>
  <c r="AZ30" i="13" s="1"/>
  <c r="AU9" i="13"/>
  <c r="AU30" i="13" s="1"/>
  <c r="AS30" i="13"/>
  <c r="AU33" i="13"/>
  <c r="AQ30" i="26"/>
  <c r="AX9" i="13" l="1"/>
  <c r="AW10" i="13"/>
  <c r="AU32" i="13"/>
  <c r="AU35" i="13" s="1"/>
  <c r="F14" i="5"/>
  <c r="AK30" i="26"/>
  <c r="AX10" i="13" l="1"/>
  <c r="AW11" i="13"/>
  <c r="AL30" i="26"/>
  <c r="AW12" i="13" l="1"/>
  <c r="AX11" i="13"/>
  <c r="AR30" i="26"/>
  <c r="AW13" i="13" l="1"/>
  <c r="AX12" i="13"/>
  <c r="AS30" i="26"/>
  <c r="BB30" i="26"/>
  <c r="BA30" i="26"/>
  <c r="BC30" i="26"/>
  <c r="AU30" i="26"/>
  <c r="BD30" i="26"/>
  <c r="AX30" i="26"/>
  <c r="AU34" i="26" s="1"/>
  <c r="AU33" i="26"/>
  <c r="AZ30" i="26"/>
  <c r="AW14" i="13" l="1"/>
  <c r="AX13" i="13"/>
  <c r="AU32" i="26"/>
  <c r="AU35" i="26" s="1"/>
  <c r="E18" i="5"/>
  <c r="AW15" i="13" l="1"/>
  <c r="AX14" i="13"/>
  <c r="C38" i="5"/>
  <c r="I24" i="5"/>
  <c r="AW16" i="13" l="1"/>
  <c r="AX15" i="13"/>
  <c r="G26" i="5"/>
  <c r="H26" i="5"/>
  <c r="F26" i="5"/>
  <c r="I26" i="5"/>
  <c r="F38" i="5"/>
  <c r="D38" i="5"/>
  <c r="E38" i="5"/>
  <c r="J38" i="5" l="1"/>
  <c r="L38" i="5" s="1"/>
  <c r="AW17" i="13"/>
  <c r="AX16" i="13"/>
  <c r="G36" i="5"/>
  <c r="G37" i="5"/>
  <c r="G35" i="5"/>
  <c r="G38" i="5"/>
  <c r="F29" i="5"/>
  <c r="I29" i="5"/>
  <c r="F28" i="5"/>
  <c r="H28" i="5"/>
  <c r="I28" i="5"/>
  <c r="H29" i="5"/>
  <c r="G28" i="5"/>
  <c r="G29" i="5"/>
  <c r="K38" i="5" l="1"/>
  <c r="N35" i="5" s="1"/>
  <c r="AW18" i="13"/>
  <c r="AX17" i="13"/>
  <c r="N36" i="5"/>
  <c r="I38" i="5"/>
  <c r="M36" i="5"/>
  <c r="I36" i="5"/>
  <c r="M38" i="5"/>
  <c r="O36" i="5"/>
  <c r="O35" i="5"/>
  <c r="M35" i="5"/>
  <c r="I37" i="5"/>
  <c r="O37" i="5"/>
  <c r="I35" i="5"/>
  <c r="M37" i="5"/>
  <c r="O38" i="5"/>
  <c r="N37" i="5"/>
  <c r="N38" i="5" l="1"/>
  <c r="AW19" i="13"/>
  <c r="AX18" i="13"/>
  <c r="AW20" i="13" l="1"/>
  <c r="AX19" i="13"/>
  <c r="AW21" i="13" l="1"/>
  <c r="AX20" i="13"/>
  <c r="AW22" i="13" l="1"/>
  <c r="AX21" i="13"/>
  <c r="AW23" i="13" l="1"/>
  <c r="AX22" i="13"/>
  <c r="AW24" i="13" l="1"/>
  <c r="AX23" i="13"/>
  <c r="AW25" i="13" l="1"/>
  <c r="AX24" i="13"/>
  <c r="AW26" i="13" l="1"/>
  <c r="AX25" i="13"/>
  <c r="AW27" i="13" l="1"/>
  <c r="AX26" i="13"/>
  <c r="AW28" i="13" l="1"/>
  <c r="AX28" i="13" s="1"/>
  <c r="AX27" i="13"/>
  <c r="AX30" i="13" l="1"/>
  <c r="AU34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<sst xmlns="http://schemas.openxmlformats.org/spreadsheetml/2006/main" count="1245" uniqueCount="143">
  <si>
    <t>ECONOMIC EVALUATION STUDY</t>
  </si>
  <si>
    <t>FIELD (                ) DEVELOPMENT PROJECT</t>
  </si>
  <si>
    <t>Production Data</t>
  </si>
  <si>
    <t>Oil production rate in year 1</t>
  </si>
  <si>
    <t>MBD</t>
  </si>
  <si>
    <t>Decline rate</t>
  </si>
  <si>
    <t>%</t>
  </si>
  <si>
    <t>Gas Oil Ratio</t>
  </si>
  <si>
    <t>SCF/STB</t>
  </si>
  <si>
    <t>Investment Data</t>
  </si>
  <si>
    <t>Number of wells</t>
  </si>
  <si>
    <t>wells</t>
  </si>
  <si>
    <t>Drilling cost</t>
  </si>
  <si>
    <t>$MM/well</t>
  </si>
  <si>
    <t>Length of pipelines</t>
  </si>
  <si>
    <t>Kilometer</t>
  </si>
  <si>
    <t>Diameter of crude pipeline</t>
  </si>
  <si>
    <t>inches</t>
  </si>
  <si>
    <t>Diameter of gas pipeline</t>
  </si>
  <si>
    <t>Cost of pipeline</t>
  </si>
  <si>
    <t>$/inch-kilometer</t>
  </si>
  <si>
    <t>Cost of production facilities</t>
  </si>
  <si>
    <t>$MM</t>
  </si>
  <si>
    <t>Cost of camp</t>
  </si>
  <si>
    <t>Operating Cost Data (@ year 0)</t>
  </si>
  <si>
    <t>Inflation rate (%/year)</t>
  </si>
  <si>
    <t>Fuel</t>
  </si>
  <si>
    <t>$MM/year</t>
  </si>
  <si>
    <t>Spare parts</t>
  </si>
  <si>
    <t>Maintenance Requirements</t>
  </si>
  <si>
    <t>Salaries</t>
  </si>
  <si>
    <t>$/person/month</t>
  </si>
  <si>
    <t>Catering &amp; Services</t>
  </si>
  <si>
    <t>$/person/day</t>
  </si>
  <si>
    <t>Overhead costs</t>
  </si>
  <si>
    <t>Well services &amp; workovers</t>
  </si>
  <si>
    <t>$MM/year/well</t>
  </si>
  <si>
    <t>Number of personnel</t>
  </si>
  <si>
    <t>People</t>
  </si>
  <si>
    <t>Cash Flow Data</t>
  </si>
  <si>
    <t>Escalation rate (%/year)</t>
  </si>
  <si>
    <t>Crude selling Price</t>
  </si>
  <si>
    <t>$/barrel</t>
  </si>
  <si>
    <t>Gas selling Price</t>
  </si>
  <si>
    <t>$/MCF</t>
  </si>
  <si>
    <t>Tax rate</t>
  </si>
  <si>
    <t>Discount Rate</t>
  </si>
  <si>
    <t>Depreciation Data</t>
  </si>
  <si>
    <t>Depreciation Method</t>
  </si>
  <si>
    <t>Str. Line</t>
  </si>
  <si>
    <t>DBw/B</t>
  </si>
  <si>
    <t>DB</t>
  </si>
  <si>
    <t>DDBw/B</t>
  </si>
  <si>
    <t>DDB</t>
  </si>
  <si>
    <t>S.Y.D</t>
  </si>
  <si>
    <t>Unt. Prod</t>
  </si>
  <si>
    <t>(Enter 1)</t>
  </si>
  <si>
    <t>Number of Years</t>
  </si>
  <si>
    <t>Salvage Value</t>
  </si>
  <si>
    <t>Other Assumptions</t>
  </si>
  <si>
    <t>Project life = 20 years</t>
  </si>
  <si>
    <t>No abandonment cost</t>
  </si>
  <si>
    <t>Result</t>
  </si>
  <si>
    <t>Economic Indicators</t>
  </si>
  <si>
    <t>Net Present Value (NPV)</t>
  </si>
  <si>
    <t>Internal Rate of Return (IRR)</t>
  </si>
  <si>
    <t>Payback Period (Payout)</t>
  </si>
  <si>
    <t>Years</t>
  </si>
  <si>
    <t>Capital Productivity Index (CPI)</t>
  </si>
  <si>
    <t>CASH FLOW ANALYSIS ($MM)</t>
  </si>
  <si>
    <t>CASH FLOW ANALYSIS</t>
  </si>
  <si>
    <t>(Table 2)</t>
  </si>
  <si>
    <t>Annual Production</t>
  </si>
  <si>
    <t>Revenue</t>
  </si>
  <si>
    <t>CAPEX</t>
  </si>
  <si>
    <t>OPEX</t>
  </si>
  <si>
    <t>Tax Calculation</t>
  </si>
  <si>
    <t>Cash Flow</t>
  </si>
  <si>
    <t>Cum.</t>
  </si>
  <si>
    <t>Discounted NCF</t>
  </si>
  <si>
    <t>Oil</t>
  </si>
  <si>
    <t>Gas</t>
  </si>
  <si>
    <t>Total</t>
  </si>
  <si>
    <t>Spares</t>
  </si>
  <si>
    <t>Maint.</t>
  </si>
  <si>
    <t>Serv.</t>
  </si>
  <si>
    <t>O/H</t>
  </si>
  <si>
    <t>Wells</t>
  </si>
  <si>
    <t>St. Line</t>
  </si>
  <si>
    <t>DB w/Balloon</t>
  </si>
  <si>
    <t>Dec</t>
  </si>
  <si>
    <t>DDBw/Balloon</t>
  </si>
  <si>
    <t>Double</t>
  </si>
  <si>
    <t>SYD</t>
  </si>
  <si>
    <t>Unit of Prod</t>
  </si>
  <si>
    <t>Dep.</t>
  </si>
  <si>
    <t>Opex</t>
  </si>
  <si>
    <t>Net Rev.</t>
  </si>
  <si>
    <t>W/LCF</t>
  </si>
  <si>
    <t>Income</t>
  </si>
  <si>
    <t>Tax</t>
  </si>
  <si>
    <t>Capex</t>
  </si>
  <si>
    <t>NCF</t>
  </si>
  <si>
    <t>NPV</t>
  </si>
  <si>
    <t>CF</t>
  </si>
  <si>
    <t>(MMB)</t>
  </si>
  <si>
    <t>(BCF)</t>
  </si>
  <si>
    <t>Bal</t>
  </si>
  <si>
    <t>Dep</t>
  </si>
  <si>
    <t>Dec. Bal</t>
  </si>
  <si>
    <t>Table &amp; Graphs of the Results</t>
  </si>
  <si>
    <t>TAX</t>
  </si>
  <si>
    <t>CCF</t>
  </si>
  <si>
    <t>Disc. Rate</t>
  </si>
  <si>
    <t>SENSITIVITY ANALYSIS</t>
  </si>
  <si>
    <t>Production Rate</t>
  </si>
  <si>
    <t>Crude Price</t>
  </si>
  <si>
    <t>a</t>
  </si>
  <si>
    <t>b</t>
  </si>
  <si>
    <t>delta</t>
  </si>
  <si>
    <t>Min</t>
  </si>
  <si>
    <t>Max</t>
  </si>
  <si>
    <t>rank</t>
  </si>
  <si>
    <t>ndelta</t>
  </si>
  <si>
    <t>A</t>
  </si>
  <si>
    <t>B</t>
  </si>
  <si>
    <t>Delta</t>
  </si>
  <si>
    <t>n rank</t>
  </si>
  <si>
    <t>Parameter</t>
  </si>
  <si>
    <t>Sinsitivity Analysis:</t>
  </si>
  <si>
    <t>from</t>
  </si>
  <si>
    <t>to</t>
  </si>
  <si>
    <t>Confidence Range</t>
  </si>
  <si>
    <t xml:space="preserve">IRR = </t>
  </si>
  <si>
    <t>Oil Price</t>
  </si>
  <si>
    <t>NPV =</t>
  </si>
  <si>
    <t>Payback =</t>
  </si>
  <si>
    <t xml:space="preserve">CPI = </t>
  </si>
  <si>
    <t>MM</t>
  </si>
  <si>
    <t>$/$</t>
  </si>
  <si>
    <t>Payback</t>
  </si>
  <si>
    <t>(Years)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</si>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</sst>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0" formatCode="0.0%"/>
    <numFmt numFmtId="191" formatCode="&quot;$&quot;#,##0"/>
  </numFmts>
  <fonts count="11" x14ac:knownFonts="1">
    <font>
      <sz val="10"/>
      <name val="Arial"/>
      <charset val="178"/>
    </font>
    <font>
      <b/>
      <sz val="12"/>
      <name val="Arial"/>
      <charset val="178"/>
    </font>
    <font>
      <b/>
      <u/>
      <sz val="10"/>
      <name val="Arial"/>
      <family val="2"/>
      <charset val="178"/>
    </font>
    <font>
      <b/>
      <sz val="10"/>
      <name val="Arial"/>
      <family val="2"/>
      <charset val="178"/>
    </font>
    <font>
      <b/>
      <u/>
      <sz val="8"/>
      <name val="Arial"/>
      <family val="2"/>
      <charset val="178"/>
    </font>
    <font>
      <b/>
      <sz val="8"/>
      <name val="Arial"/>
      <family val="2"/>
      <charset val="178"/>
    </font>
    <font>
      <b/>
      <sz val="12"/>
      <name val="Arabic Transparent"/>
      <charset val="178"/>
    </font>
    <font>
      <sz val="10"/>
      <color indexed="8"/>
      <name val="Arabic Transparent"/>
    </font>
    <font>
      <b/>
      <sz val="8"/>
      <name val="Arial"/>
      <family val="2"/>
    </font>
    <font>
      <u/>
      <sz val="8"/>
      <color indexed="8"/>
      <name val="Arial"/>
    </font>
    <font>
      <sz val="12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2" fontId="5" fillId="0" borderId="0" xfId="0" applyNumberFormat="1" applyFont="1" applyAlignment="1">
      <alignment horizontal="centerContinuous"/>
    </xf>
    <xf numFmtId="2" fontId="5" fillId="0" borderId="0" xfId="0" applyNumberFormat="1" applyFont="1"/>
    <xf numFmtId="0" fontId="5" fillId="0" borderId="0" xfId="0" applyFont="1"/>
    <xf numFmtId="2" fontId="4" fillId="0" borderId="0" xfId="0" applyNumberFormat="1" applyFont="1" applyAlignment="1">
      <alignment horizontal="centerContinuous"/>
    </xf>
    <xf numFmtId="2" fontId="4" fillId="0" borderId="0" xfId="0" applyNumberFormat="1" applyFont="1"/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5" fillId="0" borderId="1" xfId="0" applyNumberFormat="1" applyFont="1" applyBorder="1"/>
    <xf numFmtId="1" fontId="5" fillId="0" borderId="0" xfId="0" applyNumberFormat="1" applyFont="1"/>
    <xf numFmtId="9" fontId="4" fillId="0" borderId="0" xfId="0" applyNumberFormat="1" applyFont="1" applyAlignment="1">
      <alignment horizontal="center"/>
    </xf>
    <xf numFmtId="2" fontId="5" fillId="0" borderId="0" xfId="0" applyNumberFormat="1" applyFont="1" applyBorder="1"/>
    <xf numFmtId="1" fontId="5" fillId="0" borderId="2" xfId="0" applyNumberFormat="1" applyFont="1" applyBorder="1"/>
    <xf numFmtId="2" fontId="5" fillId="0" borderId="2" xfId="0" applyNumberFormat="1" applyFont="1" applyBorder="1"/>
    <xf numFmtId="9" fontId="5" fillId="0" borderId="0" xfId="0" applyNumberFormat="1" applyFont="1"/>
    <xf numFmtId="0" fontId="5" fillId="0" borderId="1" xfId="0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1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1" borderId="10" xfId="0" applyFont="1" applyFill="1" applyBorder="1" applyAlignment="1">
      <alignment vertical="center"/>
    </xf>
    <xf numFmtId="0" fontId="3" fillId="1" borderId="11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1" borderId="15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1" fontId="3" fillId="0" borderId="20" xfId="0" applyNumberFormat="1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9" fontId="3" fillId="0" borderId="0" xfId="0" applyNumberFormat="1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2" fontId="3" fillId="0" borderId="0" xfId="0" applyNumberFormat="1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2" fontId="3" fillId="0" borderId="25" xfId="0" applyNumberFormat="1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1" borderId="29" xfId="0" applyFont="1" applyFill="1" applyBorder="1" applyAlignment="1">
      <alignment vertical="center"/>
    </xf>
    <xf numFmtId="0" fontId="1" fillId="0" borderId="0" xfId="0" applyFont="1" applyBorder="1"/>
    <xf numFmtId="9" fontId="1" fillId="0" borderId="0" xfId="0" applyNumberFormat="1" applyFont="1" applyBorder="1"/>
    <xf numFmtId="1" fontId="6" fillId="0" borderId="0" xfId="0" applyNumberFormat="1" applyFont="1" applyBorder="1"/>
    <xf numFmtId="1" fontId="1" fillId="0" borderId="0" xfId="0" applyNumberFormat="1" applyFont="1" applyBorder="1"/>
    <xf numFmtId="0" fontId="3" fillId="1" borderId="30" xfId="0" applyFont="1" applyFill="1" applyBorder="1" applyAlignment="1">
      <alignment vertical="center"/>
    </xf>
    <xf numFmtId="9" fontId="1" fillId="0" borderId="0" xfId="0" applyNumberFormat="1" applyFont="1" applyFill="1" applyBorder="1"/>
    <xf numFmtId="1" fontId="1" fillId="0" borderId="0" xfId="0" applyNumberFormat="1" applyFont="1" applyFill="1" applyBorder="1"/>
    <xf numFmtId="2" fontId="5" fillId="0" borderId="22" xfId="0" applyNumberFormat="1" applyFont="1" applyBorder="1"/>
    <xf numFmtId="2" fontId="5" fillId="0" borderId="24" xfId="0" applyNumberFormat="1" applyFont="1" applyBorder="1"/>
    <xf numFmtId="2" fontId="5" fillId="0" borderId="25" xfId="0" applyNumberFormat="1" applyFont="1" applyBorder="1"/>
    <xf numFmtId="2" fontId="5" fillId="0" borderId="31" xfId="0" applyNumberFormat="1" applyFont="1" applyBorder="1"/>
    <xf numFmtId="2" fontId="5" fillId="0" borderId="32" xfId="0" applyNumberFormat="1" applyFont="1" applyBorder="1"/>
    <xf numFmtId="2" fontId="5" fillId="0" borderId="30" xfId="0" applyNumberFormat="1" applyFont="1" applyBorder="1"/>
    <xf numFmtId="190" fontId="5" fillId="0" borderId="28" xfId="0" applyNumberFormat="1" applyFont="1" applyBorder="1"/>
    <xf numFmtId="2" fontId="5" fillId="0" borderId="29" xfId="0" applyNumberFormat="1" applyFont="1" applyBorder="1"/>
    <xf numFmtId="191" fontId="5" fillId="0" borderId="30" xfId="0" applyNumberFormat="1" applyFont="1" applyBorder="1"/>
    <xf numFmtId="2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worksheet" Target="worksheets/sheet8.xml"/><Relationship Id="rId18" Type="http://schemas.openxmlformats.org/officeDocument/2006/relationships/worksheet" Target="worksheets/sheet13.xml"/><Relationship Id="rId26" Type="http://schemas.openxmlformats.org/officeDocument/2006/relationships/theme" Target="theme/theme1.xml"/><Relationship Id="rId3" Type="http://schemas.openxmlformats.org/officeDocument/2006/relationships/chartsheet" Target="chartsheets/sheet1.xml"/><Relationship Id="rId21" Type="http://schemas.openxmlformats.org/officeDocument/2006/relationships/worksheet" Target="worksheets/sheet16.xml"/><Relationship Id="rId7" Type="http://schemas.openxmlformats.org/officeDocument/2006/relationships/chartsheet" Target="chartsheets/sheet5.xml"/><Relationship Id="rId12" Type="http://schemas.openxmlformats.org/officeDocument/2006/relationships/worksheet" Target="worksheets/sheet7.xml"/><Relationship Id="rId17" Type="http://schemas.openxmlformats.org/officeDocument/2006/relationships/worksheet" Target="worksheets/sheet12.xml"/><Relationship Id="rId25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1.xml"/><Relationship Id="rId20" Type="http://schemas.openxmlformats.org/officeDocument/2006/relationships/worksheet" Target="worksheets/sheet15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worksheet" Target="worksheets/sheet6.xml"/><Relationship Id="rId24" Type="http://schemas.openxmlformats.org/officeDocument/2006/relationships/worksheet" Target="worksheets/sheet19.xml"/><Relationship Id="rId5" Type="http://schemas.openxmlformats.org/officeDocument/2006/relationships/chartsheet" Target="chartsheets/sheet3.xml"/><Relationship Id="rId15" Type="http://schemas.openxmlformats.org/officeDocument/2006/relationships/worksheet" Target="worksheets/sheet10.xml"/><Relationship Id="rId23" Type="http://schemas.openxmlformats.org/officeDocument/2006/relationships/worksheet" Target="worksheets/sheet1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5.xml"/><Relationship Id="rId19" Type="http://schemas.openxmlformats.org/officeDocument/2006/relationships/worksheet" Target="worksheets/sheet14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4.xml"/><Relationship Id="rId14" Type="http://schemas.openxmlformats.org/officeDocument/2006/relationships/worksheet" Target="worksheets/sheet9.xml"/><Relationship Id="rId22" Type="http://schemas.openxmlformats.org/officeDocument/2006/relationships/worksheet" Target="worksheets/sheet17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Net Cash Flow</a:t>
            </a:r>
          </a:p>
        </c:rich>
      </c:tx>
      <c:layout>
        <c:manualLayout>
          <c:xMode val="edge"/>
          <c:yMode val="edge"/>
          <c:x val="0.42812820479393721"/>
          <c:y val="2.0339067670888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695966907962769E-2"/>
          <c:y val="0.11864406779661017"/>
          <c:w val="0.84281282316442607"/>
          <c:h val="0.7932203389830508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Tables!$C$5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Tables!$A$6:$A$26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Tables!$C$6:$C$26</c:f>
              <c:numCache>
                <c:formatCode>0.00</c:formatCode>
                <c:ptCount val="21"/>
                <c:pt idx="0">
                  <c:v>0</c:v>
                </c:pt>
                <c:pt idx="1">
                  <c:v>46.482600000000005</c:v>
                </c:pt>
                <c:pt idx="2">
                  <c:v>49.619836000000006</c:v>
                </c:pt>
                <c:pt idx="3">
                  <c:v>52.976337360000002</c:v>
                </c:pt>
                <c:pt idx="4">
                  <c:v>56.567804473600006</c:v>
                </c:pt>
                <c:pt idx="5">
                  <c:v>60.411089279136007</c:v>
                </c:pt>
                <c:pt idx="6">
                  <c:v>64.524282005803371</c:v>
                </c:pt>
                <c:pt idx="7">
                  <c:v>68.926804653643131</c:v>
                </c:pt>
                <c:pt idx="8">
                  <c:v>73.63951174757122</c:v>
                </c:pt>
                <c:pt idx="9">
                  <c:v>78.684798950472654</c:v>
                </c:pt>
                <c:pt idx="10">
                  <c:v>84.086720169074482</c:v>
                </c:pt>
                <c:pt idx="11">
                  <c:v>89.871113839195871</c:v>
                </c:pt>
                <c:pt idx="12">
                  <c:v>96.065739134419545</c:v>
                </c:pt>
                <c:pt idx="13">
                  <c:v>102.70042290464741</c:v>
                </c:pt>
                <c:pt idx="14">
                  <c:v>109.80721821883162</c:v>
                </c:pt>
                <c:pt idx="15">
                  <c:v>117.42057545990087</c:v>
                </c:pt>
                <c:pt idx="16">
                  <c:v>125.57752700005267</c:v>
                </c:pt>
                <c:pt idx="17">
                  <c:v>134.31788657173794</c:v>
                </c:pt>
                <c:pt idx="18">
                  <c:v>143.68446454444995</c:v>
                </c:pt>
                <c:pt idx="19">
                  <c:v>153.72330042053716</c:v>
                </c:pt>
                <c:pt idx="20">
                  <c:v>164.48391397543796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8-4552-BE51-4EB641EA5A55}"/>
            </c:ext>
          </c:extLst>
        </c:ser>
        <c:ser>
          <c:idx val="2"/>
          <c:order val="1"/>
          <c:tx>
            <c:strRef>
              <c:f>Tables!$D$5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Tables!$A$6:$A$26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Tables!$D$6:$D$26</c:f>
              <c:numCache>
                <c:formatCode>0.00</c:formatCode>
                <c:ptCount val="21"/>
                <c:pt idx="0">
                  <c:v>0</c:v>
                </c:pt>
                <c:pt idx="1">
                  <c:v>37.616960000000006</c:v>
                </c:pt>
                <c:pt idx="2">
                  <c:v>33.113565599999994</c:v>
                </c:pt>
                <c:pt idx="3">
                  <c:v>28.684890055999997</c:v>
                </c:pt>
                <c:pt idx="4">
                  <c:v>24.316531960559988</c:v>
                </c:pt>
                <c:pt idx="5">
                  <c:v>19.994035350845596</c:v>
                </c:pt>
                <c:pt idx="6">
                  <c:v>15.70283470705364</c:v>
                </c:pt>
                <c:pt idx="7">
                  <c:v>11.428198272448984</c:v>
                </c:pt>
                <c:pt idx="8">
                  <c:v>7.1551694281824298</c:v>
                </c:pt>
                <c:pt idx="9">
                  <c:v>2.8685058406613138</c:v>
                </c:pt>
                <c:pt idx="10">
                  <c:v>0</c:v>
                </c:pt>
                <c:pt idx="11">
                  <c:v>2.951493406639111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8-4552-BE51-4EB641EA5A55}"/>
            </c:ext>
          </c:extLst>
        </c:ser>
        <c:ser>
          <c:idx val="3"/>
          <c:order val="2"/>
          <c:tx>
            <c:strRef>
              <c:f>Tables!$E$5</c:f>
              <c:strCache>
                <c:ptCount val="1"/>
                <c:pt idx="0">
                  <c:v>NCF</c:v>
                </c:pt>
              </c:strCache>
            </c:strRef>
          </c:tx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3"/>
              <c:numFmt formatCode="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EC8-4552-BE51-4EB641EA5A55}"/>
                </c:ext>
              </c:extLst>
            </c:dLbl>
            <c:numFmt formatCode="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Tables!$A$6:$A$26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Tables!$E$6:$E$26</c:f>
              <c:numCache>
                <c:formatCode>0.00</c:formatCode>
                <c:ptCount val="21"/>
                <c:pt idx="0">
                  <c:v>-219</c:v>
                </c:pt>
                <c:pt idx="1">
                  <c:v>78.32544</c:v>
                </c:pt>
                <c:pt idx="2">
                  <c:v>71.570348399999972</c:v>
                </c:pt>
                <c:pt idx="3">
                  <c:v>64.927335083999992</c:v>
                </c:pt>
                <c:pt idx="4">
                  <c:v>58.374797940839983</c:v>
                </c:pt>
                <c:pt idx="5">
                  <c:v>51.891053026268395</c:v>
                </c:pt>
                <c:pt idx="6">
                  <c:v>45.454252060580458</c:v>
                </c:pt>
                <c:pt idx="7">
                  <c:v>39.042297408673477</c:v>
                </c:pt>
                <c:pt idx="8">
                  <c:v>32.63275414227364</c:v>
                </c:pt>
                <c:pt idx="9">
                  <c:v>26.202758760991969</c:v>
                </c:pt>
                <c:pt idx="10">
                  <c:v>18.281540205445154</c:v>
                </c:pt>
                <c:pt idx="11">
                  <c:v>4.4272401099586656</c:v>
                </c:pt>
                <c:pt idx="12">
                  <c:v>-3.6783841464155813</c:v>
                </c:pt>
                <c:pt idx="13">
                  <c:v>-14.932435666043631</c:v>
                </c:pt>
                <c:pt idx="14">
                  <c:v>-26.427630342158054</c:v>
                </c:pt>
                <c:pt idx="15">
                  <c:v>-38.209966977060986</c:v>
                </c:pt>
                <c:pt idx="16">
                  <c:v>-50.327448941354774</c:v>
                </c:pt>
                <c:pt idx="17">
                  <c:v>-62.830312415974944</c:v>
                </c:pt>
                <c:pt idx="18">
                  <c:v>-75.771269096475109</c:v>
                </c:pt>
                <c:pt idx="19">
                  <c:v>-89.205764744961058</c:v>
                </c:pt>
                <c:pt idx="20">
                  <c:v>-103.19225508364066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C8-4552-BE51-4EB641EA5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2477600"/>
        <c:axId val="1"/>
      </c:barChart>
      <c:catAx>
        <c:axId val="23247760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47776633467174218"/>
              <c:y val="0.93050842319981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$MM</a:t>
                </a:r>
              </a:p>
            </c:rich>
          </c:tx>
          <c:layout>
            <c:manualLayout>
              <c:xMode val="edge"/>
              <c:yMode val="edge"/>
              <c:x val="8.790076219777164E-2"/>
              <c:y val="6.6101613317357061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2477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703394691557595"/>
          <c:y val="0.45923913043478259"/>
          <c:w val="5.7995037458066112E-2"/>
          <c:h val="0.107336956521739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abic Transparent"/>
          <a:ea typeface="Arabic Transparent"/>
          <a:cs typeface="Arabic Transparent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Internal Rate of Return</a:t>
            </a:r>
          </a:p>
        </c:rich>
      </c:tx>
      <c:layout>
        <c:manualLayout>
          <c:xMode val="edge"/>
          <c:yMode val="edge"/>
          <c:x val="0.38986557247397063"/>
          <c:y val="2.0339067670888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615305067218202"/>
          <c:y val="0.12033898305084746"/>
          <c:w val="0.81592554291623576"/>
          <c:h val="0.75254237288135595"/>
        </c:manualLayout>
      </c:layout>
      <c:lineChart>
        <c:grouping val="standard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6"/>
            <c:dispRSqr val="0"/>
            <c:dispEq val="0"/>
          </c:trendline>
          <c:cat>
            <c:numRef>
              <c:f>Tables!$I$6:$I$11</c:f>
              <c:numCache>
                <c:formatCode>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cat>
          <c:val>
            <c:numRef>
              <c:f>Tables!$J$6:$J$11</c:f>
              <c:numCache>
                <c:formatCode>0</c:formatCode>
                <c:ptCount val="6"/>
                <c:pt idx="0">
                  <c:v>-192.44565027505305</c:v>
                </c:pt>
                <c:pt idx="1">
                  <c:v>4.6557518843102024</c:v>
                </c:pt>
                <c:pt idx="2">
                  <c:v>-65.694835910267685</c:v>
                </c:pt>
                <c:pt idx="3">
                  <c:v>-107.08677898531252</c:v>
                </c:pt>
                <c:pt idx="4">
                  <c:v>-131.52998660479699</c:v>
                </c:pt>
                <c:pt idx="5">
                  <c:v>-147.35215617137112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66-4B2E-B8E1-95EEEE907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480960"/>
        <c:axId val="1"/>
      </c:lineChart>
      <c:catAx>
        <c:axId val="23248096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Discount Rate</a:t>
                </a:r>
              </a:p>
            </c:rich>
          </c:tx>
          <c:layout>
            <c:manualLayout>
              <c:xMode val="edge"/>
              <c:yMode val="edge"/>
              <c:x val="0.51706308338113371"/>
              <c:y val="0.8915254479059682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cross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Net Present Value ($MM)</a:t>
                </a:r>
              </a:p>
            </c:rich>
          </c:tx>
          <c:layout>
            <c:manualLayout>
              <c:xMode val="edge"/>
              <c:yMode val="edge"/>
              <c:x val="6.5149984356260113E-2"/>
              <c:y val="4.7457705694396897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248096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abic Transparent"/>
          <a:ea typeface="Arabic Transparent"/>
          <a:cs typeface="Arabic Transparent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Cum. Net Cash Flow</a:t>
            </a:r>
          </a:p>
        </c:rich>
      </c:tx>
      <c:layout>
        <c:manualLayout>
          <c:xMode val="edge"/>
          <c:yMode val="edge"/>
          <c:x val="0.40124096139472631"/>
          <c:y val="2.0339067670888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661840744570834E-2"/>
          <c:y val="0.11864406779661017"/>
          <c:w val="0.90072388831437433"/>
          <c:h val="0.7932203389830508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Tables!$A$6:$A$26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Tables!$F$6:$F$26</c:f>
              <c:numCache>
                <c:formatCode>0.00</c:formatCode>
                <c:ptCount val="21"/>
                <c:pt idx="0">
                  <c:v>-219</c:v>
                </c:pt>
                <c:pt idx="1">
                  <c:v>-140.67455999999999</c:v>
                </c:pt>
                <c:pt idx="2">
                  <c:v>-69.104211600000014</c:v>
                </c:pt>
                <c:pt idx="3">
                  <c:v>-4.1768765160000214</c:v>
                </c:pt>
                <c:pt idx="4">
                  <c:v>54.197921424839961</c:v>
                </c:pt>
                <c:pt idx="5">
                  <c:v>106.08897445110836</c:v>
                </c:pt>
                <c:pt idx="6">
                  <c:v>151.54322651168883</c:v>
                </c:pt>
                <c:pt idx="7">
                  <c:v>190.58552392036231</c:v>
                </c:pt>
                <c:pt idx="8">
                  <c:v>223.21827806263593</c:v>
                </c:pt>
                <c:pt idx="9">
                  <c:v>249.4210368236279</c:v>
                </c:pt>
                <c:pt idx="10">
                  <c:v>267.70257702907304</c:v>
                </c:pt>
                <c:pt idx="11">
                  <c:v>272.12981713903173</c:v>
                </c:pt>
                <c:pt idx="12">
                  <c:v>268.45143299261616</c:v>
                </c:pt>
                <c:pt idx="13">
                  <c:v>253.51899732657253</c:v>
                </c:pt>
                <c:pt idx="14">
                  <c:v>227.09136698441449</c:v>
                </c:pt>
                <c:pt idx="15">
                  <c:v>188.88140000735351</c:v>
                </c:pt>
                <c:pt idx="16">
                  <c:v>138.55395106599872</c:v>
                </c:pt>
                <c:pt idx="17">
                  <c:v>75.723638650023773</c:v>
                </c:pt>
                <c:pt idx="18">
                  <c:v>-4.7630446451336184E-2</c:v>
                </c:pt>
                <c:pt idx="19">
                  <c:v>-89.253395191412395</c:v>
                </c:pt>
                <c:pt idx="20">
                  <c:v>-192.44565027505305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FE-4C52-BE98-3FA4255DC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471664"/>
        <c:axId val="1"/>
      </c:lineChart>
      <c:catAx>
        <c:axId val="23447166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layout>
            <c:manualLayout>
              <c:xMode val="edge"/>
              <c:yMode val="edge"/>
              <c:x val="0.50568769446037798"/>
              <c:y val="0.93050842319981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$MM</a:t>
                </a:r>
              </a:p>
            </c:rich>
          </c:tx>
          <c:layout>
            <c:manualLayout>
              <c:xMode val="edge"/>
              <c:yMode val="edge"/>
              <c:x val="7.6525373277015876E-2"/>
              <c:y val="4.9152509129293621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47166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abic Transparent"/>
          <a:ea typeface="Arabic Transparent"/>
          <a:cs typeface="Arabic Transparent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Spider Diagram</a:t>
            </a:r>
          </a:p>
        </c:rich>
      </c:tx>
      <c:layout>
        <c:manualLayout>
          <c:xMode val="edge"/>
          <c:yMode val="edge"/>
          <c:x val="0.41065479025975848"/>
          <c:y val="1.95757925547264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581576026637066E-2"/>
          <c:y val="0.12234910277324633"/>
          <c:w val="0.73362930077691457"/>
          <c:h val="0.80587275693311577"/>
        </c:manualLayout>
      </c:layou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34470224"/>
        <c:axId val="1"/>
      </c:scatterChart>
      <c:valAx>
        <c:axId val="234470224"/>
        <c:scaling>
          <c:orientation val="minMax"/>
          <c:max val="0.5"/>
          <c:min val="-0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Variation</a:t>
                </a:r>
              </a:p>
            </c:rich>
          </c:tx>
          <c:layout>
            <c:manualLayout>
              <c:xMode val="edge"/>
              <c:yMode val="edge"/>
              <c:x val="0.40177585675456051"/>
              <c:y val="0.9461663987027800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inorUnit val="0.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NPV($MM)</a:t>
                </a:r>
              </a:p>
            </c:rich>
          </c:tx>
          <c:layout>
            <c:manualLayout>
              <c:xMode val="edge"/>
              <c:yMode val="edge"/>
              <c:x val="7.3251931142059204E-2"/>
              <c:y val="5.3833601297220049E-2"/>
            </c:manualLayout>
          </c:layout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470224"/>
        <c:crossesAt val="-0.5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295373665480431"/>
          <c:y val="0.39528795811518325"/>
          <c:w val="0.17170818505338081"/>
          <c:h val="0.174083769633507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sng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Tornado Diagram</a:t>
            </a:r>
          </a:p>
        </c:rich>
      </c:tx>
      <c:layout>
        <c:manualLayout>
          <c:xMode val="edge"/>
          <c:yMode val="edge"/>
          <c:x val="0.43329889537814403"/>
          <c:y val="2.0339067670888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63081695966908"/>
          <c:y val="0.10169491525423729"/>
          <c:w val="0.79937952430196479"/>
          <c:h val="0.77457627118644068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 w="25400">
              <a:noFill/>
            </a:ln>
          </c:spPr>
          <c:invertIfNegative val="0"/>
          <c:cat>
            <c:strRef>
              <c:f>Sensitivity!$I$35:$I$38</c:f>
              <c:strCache>
                <c:ptCount val="4"/>
                <c:pt idx="0">
                  <c:v>Opex</c:v>
                </c:pt>
                <c:pt idx="1">
                  <c:v>Crude Price</c:v>
                </c:pt>
                <c:pt idx="2">
                  <c:v>Production Rate</c:v>
                </c:pt>
                <c:pt idx="3">
                  <c:v>Opex</c:v>
                </c:pt>
              </c:strCache>
            </c:strRef>
          </c:cat>
          <c:val>
            <c:numRef>
              <c:f>Sensitivity!$M$35:$M$38</c:f>
              <c:numCache>
                <c:formatCode>General</c:formatCode>
                <c:ptCount val="4"/>
                <c:pt idx="0">
                  <c:v>0</c:v>
                </c:pt>
                <c:pt idx="1">
                  <c:v>825.24822815922471</c:v>
                </c:pt>
                <c:pt idx="2">
                  <c:v>107.72689985749345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F-4BBD-BF45-2EF970ECB3CB}"/>
            </c:ext>
          </c:extLst>
        </c:ser>
        <c:ser>
          <c:idx val="1"/>
          <c:order val="1"/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Sensitivity!$I$35:$I$38</c:f>
              <c:strCache>
                <c:ptCount val="4"/>
                <c:pt idx="0">
                  <c:v>Opex</c:v>
                </c:pt>
                <c:pt idx="1">
                  <c:v>Crude Price</c:v>
                </c:pt>
                <c:pt idx="2">
                  <c:v>Production Rate</c:v>
                </c:pt>
                <c:pt idx="3">
                  <c:v>Opex</c:v>
                </c:pt>
              </c:strCache>
            </c:strRef>
          </c:cat>
          <c:val>
            <c:numRef>
              <c:f>Sensitivity!$N$35:$N$38</c:f>
              <c:numCache>
                <c:formatCode>General</c:formatCode>
                <c:ptCount val="4"/>
                <c:pt idx="0">
                  <c:v>-609.04530380416463</c:v>
                </c:pt>
                <c:pt idx="1">
                  <c:v>0</c:v>
                </c:pt>
                <c:pt idx="2">
                  <c:v>0</c:v>
                </c:pt>
                <c:pt idx="3">
                  <c:v>-609.04530380416463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F-4BBD-BF45-2EF970ECB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4473104"/>
        <c:axId val="1"/>
      </c:barChart>
      <c:catAx>
        <c:axId val="234473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Parameter</a:t>
                </a:r>
              </a:p>
            </c:rich>
          </c:tx>
          <c:layout>
            <c:manualLayout>
              <c:xMode val="edge"/>
              <c:yMode val="edge"/>
              <c:x val="1.1375388920755769E-2"/>
              <c:y val="0.420339067670888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2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NPV</a:t>
                </a:r>
              </a:p>
            </c:rich>
          </c:tx>
          <c:layout>
            <c:manualLayout>
              <c:xMode val="edge"/>
              <c:yMode val="edge"/>
              <c:x val="0.55015513375397618"/>
              <c:y val="0.93728817185895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4731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41592E-B897-4ECD-86C7-6946D3317E65}">
  <sheetPr/>
  <sheetViews>
    <sheetView workbookViewId="0"/>
  </sheetViews>
  <pageMargins left="0.75" right="0.75" top="1" bottom="1" header="0.5" footer="0.5"/>
  <pageSetup paperSize="9" orientation="landscape" horizontalDpi="15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199A3D-3ACA-4D99-B0F1-6BE03289FA86}">
  <sheetPr/>
  <sheetViews>
    <sheetView workbookViewId="0"/>
  </sheetViews>
  <pageMargins left="0.75" right="0.75" top="1" bottom="1" header="0.5" footer="0.5"/>
  <pageSetup paperSize="9" orientation="landscape" horizontalDpi="15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50520A-424B-42E5-80DF-9FF126F6C5B1}">
  <sheetPr/>
  <sheetViews>
    <sheetView workbookViewId="0"/>
  </sheetViews>
  <pageMargins left="0.75" right="0.75" top="1" bottom="1" header="0.5" footer="0.5"/>
  <pageSetup paperSize="9" orientation="landscape" horizontalDpi="15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795067-9E05-4E7F-89D2-21C56153B3F5}">
  <sheetPr/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44D1A2-9970-48CA-80B9-A48876AB0854}">
  <sheetPr/>
  <sheetViews>
    <sheetView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4960" cy="56083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083CA-C996-06DB-4B5F-0BC26C16B0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4960" cy="56083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4B9286-D05A-2D68-C41A-C2DDB0B1B7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4960" cy="56083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7B8CB-5297-540B-D1C1-D3F35FB5FE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64880" cy="58216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0352AA-31C9-884A-1A16-0D41C1D51F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04960" cy="56083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1F9F4-8AC7-3DDB-DB70-2ED4FD793D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75A1-4DD1-43FF-8879-58283DCA4063}">
  <dimension ref="A1:J56"/>
  <sheetViews>
    <sheetView zoomScale="99" zoomScaleNormal="100" workbookViewId="0">
      <selection activeCell="J47" sqref="J47"/>
    </sheetView>
  </sheetViews>
  <sheetFormatPr defaultColWidth="8.6640625" defaultRowHeight="14.4" customHeight="1" x14ac:dyDescent="0.25"/>
  <cols>
    <col min="1" max="16384" width="8.6640625" style="23"/>
  </cols>
  <sheetData>
    <row r="1" spans="1:9" ht="14.4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2" spans="1:9" ht="14.4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</row>
    <row r="4" spans="1:9" ht="14.4" customHeight="1" x14ac:dyDescent="0.25">
      <c r="A4" s="24" t="s">
        <v>2</v>
      </c>
    </row>
    <row r="5" spans="1:9" ht="14.4" customHeight="1" x14ac:dyDescent="0.25">
      <c r="A5" s="23" t="s">
        <v>3</v>
      </c>
      <c r="D5" s="25">
        <v>20</v>
      </c>
      <c r="E5" s="23" t="s">
        <v>4</v>
      </c>
    </row>
    <row r="6" spans="1:9" ht="14.4" customHeight="1" x14ac:dyDescent="0.25">
      <c r="A6" s="23" t="s">
        <v>5</v>
      </c>
      <c r="D6" s="25">
        <v>5</v>
      </c>
      <c r="E6" s="23" t="s">
        <v>6</v>
      </c>
    </row>
    <row r="7" spans="1:9" ht="14.4" customHeight="1" x14ac:dyDescent="0.25">
      <c r="A7" s="23" t="s">
        <v>7</v>
      </c>
      <c r="D7" s="25">
        <v>1500</v>
      </c>
      <c r="E7" s="23" t="s">
        <v>8</v>
      </c>
    </row>
    <row r="9" spans="1:9" ht="14.4" customHeight="1" x14ac:dyDescent="0.25">
      <c r="A9" s="24" t="s">
        <v>9</v>
      </c>
    </row>
    <row r="10" spans="1:9" ht="14.4" customHeight="1" x14ac:dyDescent="0.25">
      <c r="A10" s="23" t="s">
        <v>10</v>
      </c>
      <c r="D10" s="25">
        <v>30</v>
      </c>
      <c r="E10" s="23" t="s">
        <v>11</v>
      </c>
    </row>
    <row r="11" spans="1:9" ht="14.4" customHeight="1" x14ac:dyDescent="0.25">
      <c r="A11" s="23" t="s">
        <v>12</v>
      </c>
      <c r="D11" s="25">
        <v>5</v>
      </c>
      <c r="E11" s="23" t="s">
        <v>13</v>
      </c>
    </row>
    <row r="12" spans="1:9" ht="14.4" customHeight="1" x14ac:dyDescent="0.25">
      <c r="A12" s="23" t="s">
        <v>14</v>
      </c>
      <c r="D12" s="25">
        <v>30</v>
      </c>
      <c r="E12" s="23" t="s">
        <v>15</v>
      </c>
    </row>
    <row r="13" spans="1:9" ht="14.4" customHeight="1" x14ac:dyDescent="0.25">
      <c r="A13" s="23" t="s">
        <v>16</v>
      </c>
      <c r="D13" s="25">
        <v>8</v>
      </c>
      <c r="E13" s="23" t="s">
        <v>17</v>
      </c>
    </row>
    <row r="14" spans="1:9" ht="14.4" customHeight="1" x14ac:dyDescent="0.25">
      <c r="A14" s="23" t="s">
        <v>18</v>
      </c>
      <c r="D14" s="25">
        <v>12</v>
      </c>
      <c r="E14" s="23" t="s">
        <v>17</v>
      </c>
    </row>
    <row r="15" spans="1:9" ht="14.4" customHeight="1" x14ac:dyDescent="0.25">
      <c r="A15" s="23" t="s">
        <v>19</v>
      </c>
      <c r="D15" s="25">
        <v>15000</v>
      </c>
      <c r="E15" s="23" t="s">
        <v>20</v>
      </c>
    </row>
    <row r="16" spans="1:9" ht="14.4" customHeight="1" x14ac:dyDescent="0.25">
      <c r="A16" s="23" t="s">
        <v>21</v>
      </c>
      <c r="D16" s="25">
        <v>50</v>
      </c>
      <c r="E16" s="23" t="s">
        <v>22</v>
      </c>
    </row>
    <row r="17" spans="1:9" ht="14.4" customHeight="1" x14ac:dyDescent="0.25">
      <c r="A17" s="23" t="s">
        <v>23</v>
      </c>
      <c r="D17" s="25">
        <v>10</v>
      </c>
      <c r="E17" s="23" t="s">
        <v>22</v>
      </c>
    </row>
    <row r="19" spans="1:9" ht="14.4" customHeight="1" x14ac:dyDescent="0.25">
      <c r="A19" s="24" t="s">
        <v>24</v>
      </c>
      <c r="G19" s="26" t="s">
        <v>25</v>
      </c>
      <c r="I19" s="23" t="s">
        <v>142</v>
      </c>
    </row>
    <row r="20" spans="1:9" ht="14.4" customHeight="1" x14ac:dyDescent="0.25">
      <c r="A20" s="23" t="s">
        <v>26</v>
      </c>
      <c r="D20" s="25">
        <v>1</v>
      </c>
      <c r="E20" s="23" t="s">
        <v>27</v>
      </c>
      <c r="G20" s="25">
        <v>2</v>
      </c>
    </row>
    <row r="21" spans="1:9" ht="14.4" customHeight="1" x14ac:dyDescent="0.25">
      <c r="A21" s="23" t="s">
        <v>28</v>
      </c>
      <c r="D21" s="25">
        <v>3</v>
      </c>
      <c r="E21" s="23" t="s">
        <v>27</v>
      </c>
      <c r="G21" s="25">
        <v>5</v>
      </c>
    </row>
    <row r="22" spans="1:9" ht="14.4" customHeight="1" x14ac:dyDescent="0.25">
      <c r="A22" s="23" t="s">
        <v>29</v>
      </c>
      <c r="D22" s="25">
        <v>5</v>
      </c>
      <c r="E22" s="23" t="s">
        <v>27</v>
      </c>
      <c r="G22" s="25">
        <v>6</v>
      </c>
    </row>
    <row r="23" spans="1:9" ht="14.4" customHeight="1" x14ac:dyDescent="0.25">
      <c r="A23" s="23" t="s">
        <v>30</v>
      </c>
      <c r="D23" s="25">
        <v>1000</v>
      </c>
      <c r="E23" s="23" t="s">
        <v>31</v>
      </c>
      <c r="G23" s="25">
        <v>1</v>
      </c>
    </row>
    <row r="24" spans="1:9" ht="14.4" customHeight="1" x14ac:dyDescent="0.25">
      <c r="A24" s="23" t="s">
        <v>32</v>
      </c>
      <c r="D24" s="25">
        <v>200</v>
      </c>
      <c r="E24" s="23" t="s">
        <v>33</v>
      </c>
      <c r="G24" s="25">
        <v>10</v>
      </c>
    </row>
    <row r="25" spans="1:9" ht="14.4" customHeight="1" x14ac:dyDescent="0.25">
      <c r="A25" s="23" t="s">
        <v>34</v>
      </c>
      <c r="D25" s="25">
        <v>2</v>
      </c>
      <c r="E25" s="23" t="s">
        <v>27</v>
      </c>
      <c r="G25" s="25">
        <v>7</v>
      </c>
    </row>
    <row r="26" spans="1:9" ht="14.4" customHeight="1" x14ac:dyDescent="0.25">
      <c r="A26" s="23" t="s">
        <v>35</v>
      </c>
      <c r="D26" s="25">
        <v>1</v>
      </c>
      <c r="E26" s="23" t="s">
        <v>36</v>
      </c>
      <c r="G26" s="25">
        <v>7</v>
      </c>
    </row>
    <row r="27" spans="1:9" ht="14.4" customHeight="1" x14ac:dyDescent="0.25">
      <c r="A27" s="23" t="s">
        <v>37</v>
      </c>
      <c r="D27" s="25">
        <v>30</v>
      </c>
      <c r="E27" s="23" t="s">
        <v>38</v>
      </c>
    </row>
    <row r="29" spans="1:9" ht="14.4" customHeight="1" x14ac:dyDescent="0.25">
      <c r="A29" s="24" t="s">
        <v>39</v>
      </c>
      <c r="G29" s="26" t="s">
        <v>40</v>
      </c>
    </row>
    <row r="30" spans="1:9" ht="14.4" customHeight="1" x14ac:dyDescent="0.25">
      <c r="A30" s="23" t="s">
        <v>41</v>
      </c>
      <c r="D30" s="25">
        <v>20</v>
      </c>
      <c r="E30" s="23" t="s">
        <v>42</v>
      </c>
      <c r="G30" s="25">
        <v>2</v>
      </c>
    </row>
    <row r="31" spans="1:9" ht="14.4" customHeight="1" x14ac:dyDescent="0.25">
      <c r="A31" s="23" t="s">
        <v>43</v>
      </c>
      <c r="D31" s="25">
        <v>1.5</v>
      </c>
      <c r="E31" s="23" t="s">
        <v>44</v>
      </c>
      <c r="G31" s="25">
        <v>0</v>
      </c>
    </row>
    <row r="32" spans="1:9" ht="14.4" customHeight="1" x14ac:dyDescent="0.25">
      <c r="A32" s="23" t="s">
        <v>45</v>
      </c>
      <c r="D32" s="25">
        <v>40</v>
      </c>
      <c r="E32" s="23" t="s">
        <v>6</v>
      </c>
    </row>
    <row r="33" spans="1:10" ht="14.4" customHeight="1" x14ac:dyDescent="0.25">
      <c r="A33" s="23" t="s">
        <v>46</v>
      </c>
      <c r="D33" s="25">
        <v>10</v>
      </c>
      <c r="E33" s="23" t="s">
        <v>6</v>
      </c>
    </row>
    <row r="34" spans="1:10" ht="14.4" customHeight="1" x14ac:dyDescent="0.25">
      <c r="C34" s="27"/>
      <c r="D34" s="27"/>
      <c r="E34" s="27"/>
    </row>
    <row r="35" spans="1:10" ht="14.4" customHeight="1" thickBot="1" x14ac:dyDescent="0.3">
      <c r="A35" s="24" t="s">
        <v>47</v>
      </c>
      <c r="C35" s="27"/>
      <c r="D35" s="27"/>
      <c r="E35" s="27"/>
    </row>
    <row r="36" spans="1:10" ht="14.4" customHeight="1" x14ac:dyDescent="0.25">
      <c r="A36" s="28" t="s">
        <v>48</v>
      </c>
      <c r="B36" s="29"/>
      <c r="C36" s="30"/>
      <c r="D36" s="31" t="s">
        <v>49</v>
      </c>
      <c r="E36" s="32" t="s">
        <v>50</v>
      </c>
      <c r="F36" s="32" t="s">
        <v>51</v>
      </c>
      <c r="G36" s="32" t="s">
        <v>52</v>
      </c>
      <c r="H36" s="32" t="s">
        <v>53</v>
      </c>
      <c r="I36" s="32" t="s">
        <v>54</v>
      </c>
      <c r="J36" s="33" t="s">
        <v>55</v>
      </c>
    </row>
    <row r="37" spans="1:10" ht="14.4" customHeight="1" thickBot="1" x14ac:dyDescent="0.3">
      <c r="A37" s="34" t="s">
        <v>56</v>
      </c>
      <c r="B37" s="35"/>
      <c r="C37" s="36"/>
      <c r="D37" s="37">
        <v>1</v>
      </c>
      <c r="E37" s="37"/>
      <c r="F37" s="37"/>
      <c r="G37" s="37"/>
      <c r="H37" s="37"/>
      <c r="I37" s="37"/>
      <c r="J37" s="38"/>
    </row>
    <row r="38" spans="1:10" ht="14.4" customHeight="1" thickBot="1" x14ac:dyDescent="0.3">
      <c r="A38" s="39" t="s">
        <v>57</v>
      </c>
      <c r="B38" s="40"/>
      <c r="C38" s="41"/>
      <c r="D38" s="42">
        <v>10</v>
      </c>
      <c r="E38" s="42"/>
      <c r="F38" s="25"/>
      <c r="G38" s="42"/>
      <c r="H38" s="25"/>
      <c r="I38" s="42"/>
      <c r="J38" s="43"/>
    </row>
    <row r="39" spans="1:10" ht="14.4" customHeight="1" thickBot="1" x14ac:dyDescent="0.3">
      <c r="A39" s="44" t="s">
        <v>58</v>
      </c>
      <c r="B39" s="45"/>
      <c r="C39" s="46"/>
      <c r="F39" s="64"/>
      <c r="H39" s="64"/>
    </row>
    <row r="41" spans="1:10" ht="14.4" customHeight="1" x14ac:dyDescent="0.25">
      <c r="A41" s="24" t="s">
        <v>59</v>
      </c>
    </row>
    <row r="42" spans="1:10" ht="14.4" customHeight="1" x14ac:dyDescent="0.25">
      <c r="A42" s="23" t="s">
        <v>60</v>
      </c>
    </row>
    <row r="43" spans="1:10" ht="14.4" customHeight="1" thickBot="1" x14ac:dyDescent="0.3">
      <c r="A43" s="23" t="s">
        <v>61</v>
      </c>
    </row>
    <row r="44" spans="1:10" ht="14.4" customHeight="1" thickBot="1" x14ac:dyDescent="0.3">
      <c r="C44"/>
      <c r="J44" s="63" t="s">
        <v>62</v>
      </c>
    </row>
    <row r="45" spans="1:10" ht="14.4" customHeight="1" x14ac:dyDescent="0.25">
      <c r="A45" s="24" t="s">
        <v>63</v>
      </c>
      <c r="C45"/>
      <c r="D45" s="47" t="s">
        <v>64</v>
      </c>
      <c r="E45" s="48"/>
      <c r="F45" s="48"/>
      <c r="G45" s="48"/>
      <c r="H45" s="49">
        <f>'Cash Flow'!AU30</f>
        <v>24.314459992297945</v>
      </c>
      <c r="I45" s="50" t="s">
        <v>22</v>
      </c>
      <c r="J45" s="60" t="str">
        <f>IF(H45&gt;0,"OK","Not OK")</f>
        <v>OK</v>
      </c>
    </row>
    <row r="46" spans="1:10" ht="14.4" customHeight="1" x14ac:dyDescent="0.25">
      <c r="C46"/>
      <c r="D46" s="51" t="s">
        <v>65</v>
      </c>
      <c r="E46" s="52"/>
      <c r="F46" s="52"/>
      <c r="G46" s="52"/>
      <c r="H46" s="53">
        <f>IRR('Cash Flow'!AS8:AS28)</f>
        <v>6.2556859617457938E-2</v>
      </c>
      <c r="I46" s="54"/>
      <c r="J46" s="61" t="str">
        <f>IF(H46&gt;D33/100,"OK","Not OK")</f>
        <v>Not OK</v>
      </c>
    </row>
    <row r="47" spans="1:10" ht="14.4" customHeight="1" x14ac:dyDescent="0.25">
      <c r="C47"/>
      <c r="D47" s="51" t="s">
        <v>66</v>
      </c>
      <c r="E47" s="52"/>
      <c r="F47" s="52"/>
      <c r="G47" s="52"/>
      <c r="H47" s="55">
        <f>'Cash Flow'!AX30</f>
        <v>3.0715527361693495</v>
      </c>
      <c r="I47" s="54" t="s">
        <v>67</v>
      </c>
      <c r="J47" s="61" t="str">
        <f>IF(H47&lt;10,"OK","Not OK")</f>
        <v>OK</v>
      </c>
    </row>
    <row r="48" spans="1:10" ht="14.4" customHeight="1" thickBot="1" x14ac:dyDescent="0.3">
      <c r="C48"/>
      <c r="D48" s="56" t="s">
        <v>68</v>
      </c>
      <c r="E48" s="57"/>
      <c r="F48" s="57"/>
      <c r="G48" s="57"/>
      <c r="H48" s="58">
        <f>H45/'Cash Flow'!K8</f>
        <v>0.11102493147168012</v>
      </c>
      <c r="I48" s="59"/>
      <c r="J48" s="62" t="str">
        <f>IF(H48&gt;0,"OK","Not OK")</f>
        <v>OK</v>
      </c>
    </row>
    <row r="51" spans="1:6" ht="14.4" customHeight="1" x14ac:dyDescent="0.25">
      <c r="A51" s="23" t="s">
        <v>129</v>
      </c>
    </row>
    <row r="52" spans="1:6" ht="14.4" customHeight="1" thickBot="1" x14ac:dyDescent="0.3">
      <c r="C52" s="23" t="s">
        <v>130</v>
      </c>
      <c r="E52" s="23" t="s">
        <v>131</v>
      </c>
    </row>
    <row r="53" spans="1:6" ht="14.4" customHeight="1" thickBot="1" x14ac:dyDescent="0.3">
      <c r="A53" s="23" t="s">
        <v>115</v>
      </c>
      <c r="C53" s="69">
        <v>-10</v>
      </c>
      <c r="D53" s="23" t="s">
        <v>6</v>
      </c>
      <c r="E53" s="69">
        <v>10</v>
      </c>
      <c r="F53" s="23" t="s">
        <v>6</v>
      </c>
    </row>
    <row r="54" spans="1:6" ht="14.4" customHeight="1" thickBot="1" x14ac:dyDescent="0.3">
      <c r="A54" s="23" t="s">
        <v>101</v>
      </c>
      <c r="C54" s="64">
        <v>-30</v>
      </c>
      <c r="D54" s="23" t="s">
        <v>6</v>
      </c>
      <c r="E54" s="64">
        <v>20</v>
      </c>
      <c r="F54" s="23" t="s">
        <v>6</v>
      </c>
    </row>
    <row r="55" spans="1:6" ht="14.4" customHeight="1" thickBot="1" x14ac:dyDescent="0.3">
      <c r="A55" s="23" t="s">
        <v>96</v>
      </c>
      <c r="C55" s="64">
        <v>-20</v>
      </c>
      <c r="D55" s="23" t="s">
        <v>6</v>
      </c>
      <c r="E55" s="64">
        <v>40</v>
      </c>
      <c r="F55" s="23" t="s">
        <v>6</v>
      </c>
    </row>
    <row r="56" spans="1:6" ht="14.4" customHeight="1" thickBot="1" x14ac:dyDescent="0.3">
      <c r="A56" s="23" t="s">
        <v>134</v>
      </c>
      <c r="C56" s="64">
        <v>-25</v>
      </c>
      <c r="D56" s="23" t="s">
        <v>6</v>
      </c>
      <c r="E56" s="64">
        <v>30</v>
      </c>
      <c r="F56" s="23" t="s">
        <v>6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horizontalDpi="15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4AE3-131E-4B7C-A2F2-1AF1515C2E6F}">
  <dimension ref="A1:BM35"/>
  <sheetViews>
    <sheetView topLeftCell="A2" zoomScaleNormal="170" workbookViewId="0">
      <selection activeCell="BJ37" sqref="BJ37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8.44140625" style="4" bestFit="1" customWidth="1"/>
    <col min="12" max="12" width="2.6640625" style="4" customWidth="1"/>
    <col min="13" max="15" width="5.6640625" style="4" customWidth="1"/>
    <col min="16" max="16" width="8.21875" style="4" customWidth="1"/>
    <col min="17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7" width="7.21875" style="4" customWidth="1"/>
    <col min="38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>
        <f>AK9-AL9+AG9</f>
        <v>78.325440000000015</v>
      </c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81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>
        <f>'Input&amp;Output'!D20</f>
        <v>1</v>
      </c>
      <c r="N8" s="4">
        <f>'Input&amp;Output'!D21</f>
        <v>3</v>
      </c>
      <c r="O8" s="4">
        <f>'Input&amp;Output'!D22</f>
        <v>5</v>
      </c>
      <c r="P8" s="4">
        <f>'Input&amp;Output'!D23</f>
        <v>1000</v>
      </c>
      <c r="Q8" s="4">
        <f>'Input&amp;Output'!D24</f>
        <v>200</v>
      </c>
      <c r="R8" s="4">
        <f>'Input&amp;Output'!D25</f>
        <v>2</v>
      </c>
      <c r="S8" s="4">
        <f>'Input&amp;Output'!D10</f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IF(AND(AW9&gt;0,AW8&lt;0),A8+ABS(AW8/AS9),0)</f>
        <v>0</v>
      </c>
      <c r="AZ8" s="4">
        <f>AS8</f>
        <v>-219</v>
      </c>
      <c r="BA8" s="4">
        <f>AS8</f>
        <v>-219</v>
      </c>
      <c r="BB8" s="4">
        <f>AS8</f>
        <v>-219</v>
      </c>
      <c r="BC8" s="4">
        <f>AS8</f>
        <v>-219</v>
      </c>
      <c r="BD8" s="4">
        <f>AS8</f>
        <v>-219</v>
      </c>
      <c r="BE8" s="4">
        <f>AS8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'Input&amp;Output'!$D$30*'Cash Flow'!C9</f>
        <v>146</v>
      </c>
      <c r="G9" s="4">
        <f>'Input&amp;Output'!$D$31*'Cash Flow'!D9</f>
        <v>16.424999999999997</v>
      </c>
      <c r="I9" s="4">
        <f>F9+G9</f>
        <v>162.42500000000001</v>
      </c>
      <c r="M9" s="4">
        <f>'Input&amp;Output'!$D$20*(1+('Input&amp;Output'!$G$20/100))^$A9</f>
        <v>1.02</v>
      </c>
      <c r="N9" s="4">
        <f>'Input&amp;Output'!$D$21*(1+('Input&amp;Output'!$G$21/100))^$A9</f>
        <v>3.1500000000000004</v>
      </c>
      <c r="O9" s="4">
        <f>'Input&amp;Output'!$D$22*(1+('Input&amp;Output'!$G$22/100))^$A9</f>
        <v>5.3000000000000007</v>
      </c>
      <c r="P9" s="4">
        <f>('Input&amp;Output'!$D$23*'Input&amp;Output'!$D$27*12/1000000)*(1+('Input&amp;Output'!$G$23/100))^$A9</f>
        <v>0.36359999999999998</v>
      </c>
      <c r="Q9" s="4">
        <f>('Input&amp;Output'!$D$24*'Input&amp;Output'!$D$27*365/1000000)*((1+('Input&amp;Output'!$G$24/100))^$A9)</f>
        <v>2.4090000000000003</v>
      </c>
      <c r="R9" s="4">
        <f>'Input&amp;Output'!$D$25*((1+('Input&amp;Output'!$G$25/100))^$A9)</f>
        <v>2.14</v>
      </c>
      <c r="S9" s="4">
        <f>'Input&amp;Output'!$D$10*'Input&amp;Output'!$D$26*(1+('Input&amp;Output'!$G$26/100))^$A9</f>
        <v>32.1</v>
      </c>
      <c r="T9" s="4">
        <f>SUM(M9:S9)</f>
        <v>46.482600000000005</v>
      </c>
      <c r="U9" s="4">
        <f>SUM(M9:S9)</f>
        <v>46.482600000000005</v>
      </c>
      <c r="W9" s="4">
        <f>F9+G9</f>
        <v>162.42500000000001</v>
      </c>
      <c r="AG9" s="4">
        <f>IF(A9&lt;='Input&amp;Output'!$D$38,'Cash Flow'!$K$8/'Input&amp;Output'!$D$38,0)</f>
        <v>21.9</v>
      </c>
      <c r="AH9" s="4">
        <f>SUM(M9:S9)</f>
        <v>46.482600000000005</v>
      </c>
      <c r="AK9" s="4">
        <f>MAX(0,W9-AH9-AG9)</f>
        <v>94.042400000000015</v>
      </c>
      <c r="AL9" s="4">
        <f>AK9*('Input&amp;Output'!$D$32/100)</f>
        <v>37.616960000000006</v>
      </c>
      <c r="AM9" s="8">
        <f t="shared" ref="AM9:AM28" si="0">AM8+1</f>
        <v>1</v>
      </c>
      <c r="AN9" s="5"/>
      <c r="AO9" s="4">
        <f>F9+G9</f>
        <v>162.42500000000001</v>
      </c>
      <c r="AQ9" s="4">
        <f>SUM(M9:S9)</f>
        <v>46.482600000000005</v>
      </c>
      <c r="AR9" s="4">
        <f>AK9*('Input&amp;Output'!$D$32/100)</f>
        <v>37.616960000000006</v>
      </c>
      <c r="AS9" s="4">
        <f t="shared" ref="AS9:AS28" si="1">AO9-AP9-AQ9-AR9</f>
        <v>78.32544</v>
      </c>
      <c r="AU9" s="4">
        <f>AS9/(1+'Input&amp;Output'!$D$33/100)^A9</f>
        <v>71.204945454545452</v>
      </c>
      <c r="AW9" s="4">
        <f>AW8+AS9</f>
        <v>-140.67455999999999</v>
      </c>
      <c r="AX9" s="4">
        <f t="shared" ref="AX9:AX28" si="2">IF(AND(AW10&gt;0,AW9&lt;0),A9+ABS(AW9/AS10),0)</f>
        <v>0</v>
      </c>
      <c r="AZ9" s="4">
        <f>AS9/(1+(0/100))^A9</f>
        <v>78.32544</v>
      </c>
      <c r="BA9" s="4">
        <f>AS9/(1+(20/100))^A9</f>
        <v>65.271200000000007</v>
      </c>
      <c r="BB9" s="4">
        <f>AS9/(1+(40/100))^A9</f>
        <v>55.946742857142858</v>
      </c>
      <c r="BC9" s="4">
        <f>AS9/(1+(60/100))^A9</f>
        <v>48.953399999999995</v>
      </c>
      <c r="BD9" s="4">
        <f>AS9/(1+(80/100))^A9</f>
        <v>43.514133333333334</v>
      </c>
      <c r="BE9" s="4">
        <f>AS9/(1+(100/100))^A9</f>
        <v>39.16272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'Input&amp;Output'!$D$30*'Cash Flow'!C10</f>
        <v>138.69999999999999</v>
      </c>
      <c r="G10" s="4">
        <f>'Input&amp;Output'!$D$31*'Cash Flow'!D10</f>
        <v>15.60375</v>
      </c>
      <c r="I10" s="4">
        <f t="shared" ref="I10:I28" si="3">F10+G10</f>
        <v>154.30374999999998</v>
      </c>
      <c r="M10" s="4">
        <f>'Input&amp;Output'!$D$20*(1+('Input&amp;Output'!$G$20/100))^$A10</f>
        <v>1.0404</v>
      </c>
      <c r="N10" s="4">
        <f>'Input&amp;Output'!$D$21*(1+('Input&amp;Output'!$G$21/100))^$A10</f>
        <v>3.3075000000000001</v>
      </c>
      <c r="O10" s="4">
        <f>'Input&amp;Output'!$D$22*(1+('Input&amp;Output'!$G$22/100))^$A10</f>
        <v>5.6180000000000003</v>
      </c>
      <c r="P10" s="4">
        <f>('Input&amp;Output'!$D$23*'Input&amp;Output'!$D$27*12/1000000)*(1+('Input&amp;Output'!$G$23/100))^$A10</f>
        <v>0.36723600000000001</v>
      </c>
      <c r="Q10" s="4">
        <f>('Input&amp;Output'!$D$24*'Input&amp;Output'!$D$27*365/1000000)*((1+('Input&amp;Output'!$G$24/100))^$A10)</f>
        <v>2.6499000000000001</v>
      </c>
      <c r="R10" s="4">
        <f>'Input&amp;Output'!$D$25*((1+('Input&amp;Output'!$G$25/100))^$A10)</f>
        <v>2.2898000000000001</v>
      </c>
      <c r="S10" s="4">
        <f>'Input&amp;Output'!$D$10*'Input&amp;Output'!$D$26*(1+('Input&amp;Output'!$G$26/100))^$A10</f>
        <v>34.347000000000001</v>
      </c>
      <c r="T10" s="4">
        <f t="shared" ref="T10:T25" si="4">SUM(M10:S10)</f>
        <v>49.619836000000006</v>
      </c>
      <c r="U10" s="4">
        <f t="shared" ref="U10:U28" si="5">SUM(M10:S10)</f>
        <v>49.619836000000006</v>
      </c>
      <c r="W10" s="4">
        <f t="shared" ref="W10:W28" si="6">F10+G10</f>
        <v>154.30374999999998</v>
      </c>
      <c r="AG10" s="4">
        <f>IF(A10&lt;='Input&amp;Output'!$D$38,'Cash Flow'!$K$8/'Input&amp;Output'!$D$38,0)</f>
        <v>21.9</v>
      </c>
      <c r="AH10" s="4">
        <f t="shared" ref="AH10:AH28" si="7">SUM(M10:S10)</f>
        <v>49.619836000000006</v>
      </c>
      <c r="AK10" s="4">
        <f t="shared" ref="AK10:AK28" si="8">MAX(0,W10-AH10-AG10)</f>
        <v>82.783913999999982</v>
      </c>
      <c r="AL10" s="4">
        <f>AK10*('Input&amp;Output'!$D$32/100)</f>
        <v>33.113565599999994</v>
      </c>
      <c r="AM10" s="8">
        <f t="shared" si="0"/>
        <v>2</v>
      </c>
      <c r="AN10" s="5"/>
      <c r="AO10" s="4">
        <f t="shared" ref="AO10:AO28" si="9">F10+G10</f>
        <v>154.30374999999998</v>
      </c>
      <c r="AQ10" s="4">
        <f t="shared" ref="AQ10:AQ28" si="10">SUM(M10:S10)</f>
        <v>49.619836000000006</v>
      </c>
      <c r="AR10" s="4">
        <f>AK10*('Input&amp;Output'!$D$32/100)</f>
        <v>33.113565599999994</v>
      </c>
      <c r="AS10" s="4">
        <f t="shared" si="1"/>
        <v>71.570348399999972</v>
      </c>
      <c r="AU10" s="4">
        <f>AS10/(1+'Input&amp;Output'!$D$33/100)^A10</f>
        <v>59.149048264462778</v>
      </c>
      <c r="AW10" s="4">
        <f t="shared" ref="AW10:AW28" si="11">AW9+AS10</f>
        <v>-69.104211600000014</v>
      </c>
      <c r="AX10" s="4">
        <f t="shared" si="2"/>
        <v>0</v>
      </c>
      <c r="AZ10" s="4">
        <f t="shared" ref="AZ10:AZ28" si="12">AS10/(1+(0/100))^A10</f>
        <v>71.570348399999972</v>
      </c>
      <c r="BA10" s="4">
        <f t="shared" ref="BA10:BA28" si="13">AS10/(1+(20/100))^A10</f>
        <v>49.701630833333319</v>
      </c>
      <c r="BB10" s="4">
        <f t="shared" ref="BB10:BB28" si="14">AS10/(1+(40/100))^A10</f>
        <v>36.515483877551013</v>
      </c>
      <c r="BC10" s="4">
        <f t="shared" ref="BC10:BC28" si="15">AS10/(1+(60/100))^A10</f>
        <v>27.957167343749983</v>
      </c>
      <c r="BD10" s="4">
        <f t="shared" ref="BD10:BD28" si="16">AS10/(1+(80/100))^A10</f>
        <v>22.089613703703694</v>
      </c>
      <c r="BE10" s="4">
        <f t="shared" ref="BE10:BE28" si="17">AS10/(1+(100/100))^A10</f>
        <v>17.892587099999993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'Input&amp;Output'!$D$30*'Cash Flow'!C11</f>
        <v>131.76499999999999</v>
      </c>
      <c r="G11" s="4">
        <f>'Input&amp;Output'!$D$31*'Cash Flow'!D11</f>
        <v>14.8235625</v>
      </c>
      <c r="I11" s="4">
        <f t="shared" si="3"/>
        <v>146.58856249999999</v>
      </c>
      <c r="M11" s="4">
        <f>'Input&amp;Output'!$D$20*(1+('Input&amp;Output'!$G$20/100))^$A11</f>
        <v>1.0612079999999999</v>
      </c>
      <c r="N11" s="4">
        <f>'Input&amp;Output'!$D$21*(1+('Input&amp;Output'!$G$21/100))^$A11</f>
        <v>3.4728750000000002</v>
      </c>
      <c r="O11" s="4">
        <f>'Input&amp;Output'!$D$22*(1+('Input&amp;Output'!$G$22/100))^$A11</f>
        <v>5.9550800000000015</v>
      </c>
      <c r="P11" s="4">
        <f>('Input&amp;Output'!$D$23*'Input&amp;Output'!$D$27*12/1000000)*(1+('Input&amp;Output'!$G$23/100))^$A11</f>
        <v>0.37090835999999994</v>
      </c>
      <c r="Q11" s="4">
        <f>('Input&amp;Output'!$D$24*'Input&amp;Output'!$D$27*365/1000000)*((1+('Input&amp;Output'!$G$24/100))^$A11)</f>
        <v>2.9148900000000006</v>
      </c>
      <c r="R11" s="4">
        <f>'Input&amp;Output'!$D$25*((1+('Input&amp;Output'!$G$25/100))^$A11)</f>
        <v>2.4500860000000002</v>
      </c>
      <c r="S11" s="4">
        <f>'Input&amp;Output'!$D$10*'Input&amp;Output'!$D$26*(1+('Input&amp;Output'!$G$26/100))^$A11</f>
        <v>36.751290000000004</v>
      </c>
      <c r="T11" s="4">
        <f t="shared" si="4"/>
        <v>52.976337360000002</v>
      </c>
      <c r="U11" s="4">
        <f t="shared" si="5"/>
        <v>52.976337360000002</v>
      </c>
      <c r="W11" s="4">
        <f t="shared" si="6"/>
        <v>146.58856249999999</v>
      </c>
      <c r="AG11" s="4">
        <f>IF(A11&lt;='Input&amp;Output'!$D$38,'Cash Flow'!$K$8/'Input&amp;Output'!$D$38,0)</f>
        <v>21.9</v>
      </c>
      <c r="AH11" s="4">
        <f t="shared" si="7"/>
        <v>52.976337360000002</v>
      </c>
      <c r="AK11" s="4">
        <f t="shared" si="8"/>
        <v>71.712225139999987</v>
      </c>
      <c r="AL11" s="4">
        <f>AK11*('Input&amp;Output'!$D$32/100)</f>
        <v>28.684890055999997</v>
      </c>
      <c r="AM11" s="8">
        <f t="shared" si="0"/>
        <v>3</v>
      </c>
      <c r="AN11" s="5"/>
      <c r="AO11" s="4">
        <f t="shared" si="9"/>
        <v>146.58856249999999</v>
      </c>
      <c r="AQ11" s="4">
        <f t="shared" si="10"/>
        <v>52.976337360000002</v>
      </c>
      <c r="AR11" s="4">
        <f>AK11*('Input&amp;Output'!$D$32/100)</f>
        <v>28.684890055999997</v>
      </c>
      <c r="AS11" s="4">
        <f t="shared" si="1"/>
        <v>64.927335083999992</v>
      </c>
      <c r="AU11" s="4">
        <f>AS11/(1+'Input&amp;Output'!$D$33/100)^A11</f>
        <v>48.780867831705464</v>
      </c>
      <c r="AW11" s="4">
        <f t="shared" si="11"/>
        <v>-4.1768765160000214</v>
      </c>
      <c r="AX11" s="4">
        <f t="shared" si="2"/>
        <v>3.0715527361693495</v>
      </c>
      <c r="AZ11" s="4">
        <f t="shared" si="12"/>
        <v>64.927335083999992</v>
      </c>
      <c r="BA11" s="4">
        <f t="shared" si="13"/>
        <v>37.573689284722221</v>
      </c>
      <c r="BB11" s="4">
        <f t="shared" si="14"/>
        <v>23.661565263848399</v>
      </c>
      <c r="BC11" s="4">
        <f t="shared" si="15"/>
        <v>15.851400166992182</v>
      </c>
      <c r="BD11" s="4">
        <f t="shared" si="16"/>
        <v>11.132944973251027</v>
      </c>
      <c r="BE11" s="4">
        <f t="shared" si="17"/>
        <v>8.115916885499999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'Input&amp;Output'!$D$30*'Cash Flow'!C12</f>
        <v>125.17674999999998</v>
      </c>
      <c r="G12" s="4">
        <f>'Input&amp;Output'!$D$31*'Cash Flow'!D12</f>
        <v>14.082384374999997</v>
      </c>
      <c r="I12" s="4">
        <f t="shared" si="3"/>
        <v>139.25913437499997</v>
      </c>
      <c r="M12" s="4">
        <f>'Input&amp;Output'!$D$20*(1+('Input&amp;Output'!$G$20/100))^$A12</f>
        <v>1.08243216</v>
      </c>
      <c r="N12" s="4">
        <f>'Input&amp;Output'!$D$21*(1+('Input&amp;Output'!$G$21/100))^$A12</f>
        <v>3.6465187500000003</v>
      </c>
      <c r="O12" s="4">
        <f>'Input&amp;Output'!$D$22*(1+('Input&amp;Output'!$G$22/100))^$A12</f>
        <v>6.312384800000002</v>
      </c>
      <c r="P12" s="4">
        <f>('Input&amp;Output'!$D$23*'Input&amp;Output'!$D$27*12/1000000)*(1+('Input&amp;Output'!$G$23/100))^$A12</f>
        <v>0.37461744359999999</v>
      </c>
      <c r="Q12" s="4">
        <f>('Input&amp;Output'!$D$24*'Input&amp;Output'!$D$27*365/1000000)*((1+('Input&amp;Output'!$G$24/100))^$A12)</f>
        <v>3.206379000000001</v>
      </c>
      <c r="R12" s="4">
        <f>'Input&amp;Output'!$D$25*((1+('Input&amp;Output'!$G$25/100))^$A12)</f>
        <v>2.62159202</v>
      </c>
      <c r="S12" s="4">
        <f>'Input&amp;Output'!$D$10*'Input&amp;Output'!$D$26*(1+('Input&amp;Output'!$G$26/100))^$A12</f>
        <v>39.323880299999999</v>
      </c>
      <c r="T12" s="4">
        <f t="shared" si="4"/>
        <v>56.567804473600006</v>
      </c>
      <c r="U12" s="4">
        <f t="shared" si="5"/>
        <v>56.567804473600006</v>
      </c>
      <c r="W12" s="4">
        <f t="shared" si="6"/>
        <v>139.25913437499997</v>
      </c>
      <c r="AG12" s="4">
        <f>IF(A12&lt;='Input&amp;Output'!$D$38,'Cash Flow'!$K$8/'Input&amp;Output'!$D$38,0)</f>
        <v>21.9</v>
      </c>
      <c r="AH12" s="4">
        <f t="shared" si="7"/>
        <v>56.567804473600006</v>
      </c>
      <c r="AK12" s="4">
        <f t="shared" si="8"/>
        <v>60.791329901399969</v>
      </c>
      <c r="AL12" s="4">
        <f>AK12*('Input&amp;Output'!$D$32/100)</f>
        <v>24.316531960559988</v>
      </c>
      <c r="AM12" s="8">
        <f t="shared" si="0"/>
        <v>4</v>
      </c>
      <c r="AN12" s="5"/>
      <c r="AO12" s="4">
        <f t="shared" si="9"/>
        <v>139.25913437499997</v>
      </c>
      <c r="AQ12" s="4">
        <f t="shared" si="10"/>
        <v>56.567804473600006</v>
      </c>
      <c r="AR12" s="4">
        <f>AK12*('Input&amp;Output'!$D$32/100)</f>
        <v>24.316531960559988</v>
      </c>
      <c r="AS12" s="4">
        <f t="shared" si="1"/>
        <v>58.374797940839983</v>
      </c>
      <c r="AU12" s="4">
        <f>AS12/(1+'Input&amp;Output'!$D$33/100)^A12</f>
        <v>39.870772447810921</v>
      </c>
      <c r="AW12" s="4">
        <f t="shared" si="11"/>
        <v>54.197921424839961</v>
      </c>
      <c r="AX12" s="4">
        <f t="shared" si="2"/>
        <v>0</v>
      </c>
      <c r="AZ12" s="4">
        <f t="shared" si="12"/>
        <v>58.374797940839983</v>
      </c>
      <c r="BA12" s="4">
        <f t="shared" si="13"/>
        <v>28.15142647609953</v>
      </c>
      <c r="BB12" s="4">
        <f t="shared" si="14"/>
        <v>15.195438864233653</v>
      </c>
      <c r="BC12" s="4">
        <f t="shared" si="15"/>
        <v>8.9072872834533623</v>
      </c>
      <c r="BD12" s="4">
        <f t="shared" si="16"/>
        <v>5.5607756002171902</v>
      </c>
      <c r="BE12" s="4">
        <f t="shared" si="17"/>
        <v>3.6484248713024989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'Input&amp;Output'!$D$30*'Cash Flow'!C13</f>
        <v>118.91791249999999</v>
      </c>
      <c r="G13" s="4">
        <f>'Input&amp;Output'!$D$31*'Cash Flow'!D13</f>
        <v>13.378265156249999</v>
      </c>
      <c r="I13" s="4">
        <f t="shared" si="3"/>
        <v>132.29617765624999</v>
      </c>
      <c r="M13" s="4">
        <f>'Input&amp;Output'!$D$20*(1+('Input&amp;Output'!$G$20/100))^$A13</f>
        <v>1.1040808032</v>
      </c>
      <c r="N13" s="4">
        <f>'Input&amp;Output'!$D$21*(1+('Input&amp;Output'!$G$21/100))^$A13</f>
        <v>3.8288446875000002</v>
      </c>
      <c r="O13" s="4">
        <f>'Input&amp;Output'!$D$22*(1+('Input&amp;Output'!$G$22/100))^$A13</f>
        <v>6.6911278880000022</v>
      </c>
      <c r="P13" s="4">
        <f>('Input&amp;Output'!$D$23*'Input&amp;Output'!$D$27*12/1000000)*(1+('Input&amp;Output'!$G$23/100))^$A13</f>
        <v>0.37836361803599994</v>
      </c>
      <c r="Q13" s="4">
        <f>('Input&amp;Output'!$D$24*'Input&amp;Output'!$D$27*365/1000000)*((1+('Input&amp;Output'!$G$24/100))^$A13)</f>
        <v>3.5270169000000013</v>
      </c>
      <c r="R13" s="4">
        <f>'Input&amp;Output'!$D$25*((1+('Input&amp;Output'!$G$25/100))^$A13)</f>
        <v>2.8051034614000003</v>
      </c>
      <c r="S13" s="4">
        <f>'Input&amp;Output'!$D$10*'Input&amp;Output'!$D$26*(1+('Input&amp;Output'!$G$26/100))^$A13</f>
        <v>42.076551921000004</v>
      </c>
      <c r="T13" s="4">
        <f t="shared" si="4"/>
        <v>60.411089279136007</v>
      </c>
      <c r="U13" s="4">
        <f t="shared" si="5"/>
        <v>60.411089279136007</v>
      </c>
      <c r="W13" s="4">
        <f t="shared" si="6"/>
        <v>132.29617765624999</v>
      </c>
      <c r="AG13" s="4">
        <f>IF(A13&lt;='Input&amp;Output'!$D$38,'Cash Flow'!$K$8/'Input&amp;Output'!$D$38,0)</f>
        <v>21.9</v>
      </c>
      <c r="AH13" s="4">
        <f t="shared" si="7"/>
        <v>60.411089279136007</v>
      </c>
      <c r="AK13" s="4">
        <f t="shared" si="8"/>
        <v>49.985088377113989</v>
      </c>
      <c r="AL13" s="4">
        <f>AK13*('Input&amp;Output'!$D$32/100)</f>
        <v>19.994035350845596</v>
      </c>
      <c r="AM13" s="8">
        <f t="shared" si="0"/>
        <v>5</v>
      </c>
      <c r="AN13" s="5"/>
      <c r="AO13" s="4">
        <f t="shared" si="9"/>
        <v>132.29617765624999</v>
      </c>
      <c r="AQ13" s="4">
        <f t="shared" si="10"/>
        <v>60.411089279136007</v>
      </c>
      <c r="AR13" s="4">
        <f>AK13*('Input&amp;Output'!$D$32/100)</f>
        <v>19.994035350845596</v>
      </c>
      <c r="AS13" s="4">
        <f t="shared" si="1"/>
        <v>51.891053026268395</v>
      </c>
      <c r="AU13" s="4">
        <f>AS13/(1+'Input&amp;Output'!$D$33/100)^A13</f>
        <v>32.220261300003337</v>
      </c>
      <c r="AW13" s="4">
        <f t="shared" si="11"/>
        <v>106.08897445110836</v>
      </c>
      <c r="AX13" s="4">
        <f t="shared" si="2"/>
        <v>0</v>
      </c>
      <c r="AZ13" s="4">
        <f t="shared" si="12"/>
        <v>51.891053026268395</v>
      </c>
      <c r="BA13" s="4">
        <f t="shared" si="13"/>
        <v>20.853850399574171</v>
      </c>
      <c r="BB13" s="4">
        <f t="shared" si="14"/>
        <v>9.6483334745694531</v>
      </c>
      <c r="BC13" s="4">
        <f t="shared" si="15"/>
        <v>4.948716452242695</v>
      </c>
      <c r="BD13" s="4">
        <f t="shared" si="16"/>
        <v>2.7461860608492725</v>
      </c>
      <c r="BE13" s="4">
        <f t="shared" si="17"/>
        <v>1.6215954070708873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'Input&amp;Output'!$D$30*'Cash Flow'!C14</f>
        <v>112.97201687499998</v>
      </c>
      <c r="G14" s="4">
        <f>'Input&amp;Output'!$D$31*'Cash Flow'!D14</f>
        <v>12.709351898437497</v>
      </c>
      <c r="I14" s="4">
        <f t="shared" si="3"/>
        <v>125.68136877343747</v>
      </c>
      <c r="M14" s="4">
        <f>'Input&amp;Output'!$D$20*(1+('Input&amp;Output'!$G$20/100))^$A14</f>
        <v>1.1261624192640001</v>
      </c>
      <c r="N14" s="4">
        <f>'Input&amp;Output'!$D$21*(1+('Input&amp;Output'!$G$21/100))^$A14</f>
        <v>4.0202869218749999</v>
      </c>
      <c r="O14" s="4">
        <f>'Input&amp;Output'!$D$22*(1+('Input&amp;Output'!$G$22/100))^$A14</f>
        <v>7.0925955612800031</v>
      </c>
      <c r="P14" s="4">
        <f>('Input&amp;Output'!$D$23*'Input&amp;Output'!$D$27*12/1000000)*(1+('Input&amp;Output'!$G$23/100))^$A14</f>
        <v>0.38214725421636003</v>
      </c>
      <c r="Q14" s="4">
        <f>('Input&amp;Output'!$D$24*'Input&amp;Output'!$D$27*365/1000000)*((1+('Input&amp;Output'!$G$24/100))^$A14)</f>
        <v>3.8797185900000017</v>
      </c>
      <c r="R14" s="4">
        <f>'Input&amp;Output'!$D$25*((1+('Input&amp;Output'!$G$25/100))^$A14)</f>
        <v>3.0014607036980001</v>
      </c>
      <c r="S14" s="4">
        <f>'Input&amp;Output'!$D$10*'Input&amp;Output'!$D$26*(1+('Input&amp;Output'!$G$26/100))^$A14</f>
        <v>45.021910555470001</v>
      </c>
      <c r="T14" s="4">
        <f t="shared" si="4"/>
        <v>64.524282005803371</v>
      </c>
      <c r="U14" s="4">
        <f t="shared" si="5"/>
        <v>64.524282005803371</v>
      </c>
      <c r="W14" s="4">
        <f t="shared" si="6"/>
        <v>125.68136877343747</v>
      </c>
      <c r="AG14" s="4">
        <f>IF(A14&lt;='Input&amp;Output'!$D$38,'Cash Flow'!$K$8/'Input&amp;Output'!$D$38,0)</f>
        <v>21.9</v>
      </c>
      <c r="AH14" s="4">
        <f t="shared" si="7"/>
        <v>64.524282005803371</v>
      </c>
      <c r="AK14" s="4">
        <f t="shared" si="8"/>
        <v>39.2570867676341</v>
      </c>
      <c r="AL14" s="4">
        <f>AK14*('Input&amp;Output'!$D$32/100)</f>
        <v>15.70283470705364</v>
      </c>
      <c r="AM14" s="8">
        <f t="shared" si="0"/>
        <v>6</v>
      </c>
      <c r="AN14" s="5"/>
      <c r="AO14" s="4">
        <f t="shared" si="9"/>
        <v>125.68136877343747</v>
      </c>
      <c r="AQ14" s="4">
        <f t="shared" si="10"/>
        <v>64.524282005803371</v>
      </c>
      <c r="AR14" s="4">
        <f>AK14*('Input&amp;Output'!$D$32/100)</f>
        <v>15.70283470705364</v>
      </c>
      <c r="AS14" s="4">
        <f t="shared" si="1"/>
        <v>45.454252060580458</v>
      </c>
      <c r="AU14" s="4">
        <f>AS14/(1+'Input&amp;Output'!$D$33/100)^A14</f>
        <v>25.65774029829085</v>
      </c>
      <c r="AW14" s="4">
        <f t="shared" si="11"/>
        <v>151.54322651168883</v>
      </c>
      <c r="AX14" s="4">
        <f t="shared" si="2"/>
        <v>0</v>
      </c>
      <c r="AZ14" s="4">
        <f t="shared" si="12"/>
        <v>45.454252060580458</v>
      </c>
      <c r="BA14" s="4">
        <f t="shared" si="13"/>
        <v>15.222537046608576</v>
      </c>
      <c r="BB14" s="4">
        <f t="shared" si="14"/>
        <v>6.0367932447073072</v>
      </c>
      <c r="BC14" s="4">
        <f t="shared" si="15"/>
        <v>2.709284547601964</v>
      </c>
      <c r="BD14" s="4">
        <f t="shared" si="16"/>
        <v>1.3364092880424534</v>
      </c>
      <c r="BE14" s="4">
        <f t="shared" si="17"/>
        <v>0.71022268844656966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'Input&amp;Output'!$D$30*'Cash Flow'!C15</f>
        <v>107.32341603124996</v>
      </c>
      <c r="G15" s="4">
        <f>'Input&amp;Output'!$D$31*'Cash Flow'!D15</f>
        <v>12.073884303515619</v>
      </c>
      <c r="I15" s="4">
        <f t="shared" si="3"/>
        <v>119.39730033476559</v>
      </c>
      <c r="M15" s="4">
        <f>'Input&amp;Output'!$D$20*(1+('Input&amp;Output'!$G$20/100))^$A15</f>
        <v>1.1486856676492798</v>
      </c>
      <c r="N15" s="4">
        <f>'Input&amp;Output'!$D$21*(1+('Input&amp;Output'!$G$21/100))^$A15</f>
        <v>4.2213012679687507</v>
      </c>
      <c r="O15" s="4">
        <f>'Input&amp;Output'!$D$22*(1+('Input&amp;Output'!$G$22/100))^$A15</f>
        <v>7.5181512949568043</v>
      </c>
      <c r="P15" s="4">
        <f>('Input&amp;Output'!$D$23*'Input&amp;Output'!$D$27*12/1000000)*(1+('Input&amp;Output'!$G$23/100))^$A15</f>
        <v>0.38596872675852351</v>
      </c>
      <c r="Q15" s="4">
        <f>('Input&amp;Output'!$D$24*'Input&amp;Output'!$D$27*365/1000000)*((1+('Input&amp;Output'!$G$24/100))^$A15)</f>
        <v>4.2676904490000025</v>
      </c>
      <c r="R15" s="4">
        <f>'Input&amp;Output'!$D$25*((1+('Input&amp;Output'!$G$25/100))^$A15)</f>
        <v>3.2115629529568603</v>
      </c>
      <c r="S15" s="4">
        <f>'Input&amp;Output'!$D$10*'Input&amp;Output'!$D$26*(1+('Input&amp;Output'!$G$26/100))^$A15</f>
        <v>48.173444294352905</v>
      </c>
      <c r="T15" s="4">
        <f t="shared" si="4"/>
        <v>68.926804653643131</v>
      </c>
      <c r="U15" s="4">
        <f t="shared" si="5"/>
        <v>68.926804653643131</v>
      </c>
      <c r="W15" s="4">
        <f t="shared" si="6"/>
        <v>119.39730033476559</v>
      </c>
      <c r="AG15" s="4">
        <f>IF(A15&lt;='Input&amp;Output'!$D$38,'Cash Flow'!$K$8/'Input&amp;Output'!$D$38,0)</f>
        <v>21.9</v>
      </c>
      <c r="AH15" s="4">
        <f t="shared" si="7"/>
        <v>68.926804653643131</v>
      </c>
      <c r="AK15" s="4">
        <f t="shared" si="8"/>
        <v>28.570495681122459</v>
      </c>
      <c r="AL15" s="4">
        <f>AK15*('Input&amp;Output'!$D$32/100)</f>
        <v>11.428198272448984</v>
      </c>
      <c r="AM15" s="8">
        <f t="shared" si="0"/>
        <v>7</v>
      </c>
      <c r="AN15" s="5"/>
      <c r="AO15" s="4">
        <f t="shared" si="9"/>
        <v>119.39730033476559</v>
      </c>
      <c r="AQ15" s="4">
        <f t="shared" si="10"/>
        <v>68.926804653643131</v>
      </c>
      <c r="AR15" s="4">
        <f>AK15*('Input&amp;Output'!$D$32/100)</f>
        <v>11.428198272448984</v>
      </c>
      <c r="AS15" s="4">
        <f t="shared" si="1"/>
        <v>39.042297408673477</v>
      </c>
      <c r="AU15" s="4">
        <f>AS15/(1+'Input&amp;Output'!$D$33/100)^A15</f>
        <v>20.034871869638469</v>
      </c>
      <c r="AW15" s="4">
        <f t="shared" si="11"/>
        <v>190.58552392036231</v>
      </c>
      <c r="AX15" s="4">
        <f t="shared" si="2"/>
        <v>0</v>
      </c>
      <c r="AZ15" s="4">
        <f t="shared" si="12"/>
        <v>39.042297408673477</v>
      </c>
      <c r="BA15" s="4">
        <f t="shared" si="13"/>
        <v>10.895988672598794</v>
      </c>
      <c r="BB15" s="4">
        <f t="shared" si="14"/>
        <v>3.7037282631904067</v>
      </c>
      <c r="BC15" s="4">
        <f t="shared" si="15"/>
        <v>1.4544389176619592</v>
      </c>
      <c r="BD15" s="4">
        <f t="shared" si="16"/>
        <v>0.63771675815850248</v>
      </c>
      <c r="BE15" s="4">
        <f t="shared" si="17"/>
        <v>0.30501794850526154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'Input&amp;Output'!$D$30*'Cash Flow'!C16</f>
        <v>101.95724522968746</v>
      </c>
      <c r="G16" s="4">
        <f>'Input&amp;Output'!$D$31*'Cash Flow'!D16</f>
        <v>11.470190088339839</v>
      </c>
      <c r="I16" s="4">
        <f t="shared" si="3"/>
        <v>113.42743531802729</v>
      </c>
      <c r="M16" s="4">
        <f>'Input&amp;Output'!$D$20*(1+('Input&amp;Output'!$G$20/100))^$A16</f>
        <v>1.1716593810022655</v>
      </c>
      <c r="N16" s="4">
        <f>'Input&amp;Output'!$D$21*(1+('Input&amp;Output'!$G$21/100))^$A16</f>
        <v>4.4323663313671879</v>
      </c>
      <c r="O16" s="4">
        <f>'Input&amp;Output'!$D$22*(1+('Input&amp;Output'!$G$22/100))^$A16</f>
        <v>7.9692403726542116</v>
      </c>
      <c r="P16" s="4">
        <f>('Input&amp;Output'!$D$23*'Input&amp;Output'!$D$27*12/1000000)*(1+('Input&amp;Output'!$G$23/100))^$A16</f>
        <v>0.38982841402610885</v>
      </c>
      <c r="Q16" s="4">
        <f>('Input&amp;Output'!$D$24*'Input&amp;Output'!$D$27*365/1000000)*((1+('Input&amp;Output'!$G$24/100))^$A16)</f>
        <v>4.6944594939000019</v>
      </c>
      <c r="R16" s="4">
        <f>'Input&amp;Output'!$D$25*((1+('Input&amp;Output'!$G$25/100))^$A16)</f>
        <v>3.4363723596638405</v>
      </c>
      <c r="S16" s="4">
        <f>'Input&amp;Output'!$D$10*'Input&amp;Output'!$D$26*(1+('Input&amp;Output'!$G$26/100))^$A16</f>
        <v>51.545585394957605</v>
      </c>
      <c r="T16" s="4">
        <f t="shared" si="4"/>
        <v>73.63951174757122</v>
      </c>
      <c r="U16" s="4">
        <f t="shared" si="5"/>
        <v>73.63951174757122</v>
      </c>
      <c r="W16" s="4">
        <f t="shared" si="6"/>
        <v>113.42743531802729</v>
      </c>
      <c r="AG16" s="4">
        <f>IF(A16&lt;='Input&amp;Output'!$D$38,'Cash Flow'!$K$8/'Input&amp;Output'!$D$38,0)</f>
        <v>21.9</v>
      </c>
      <c r="AH16" s="4">
        <f t="shared" si="7"/>
        <v>73.63951174757122</v>
      </c>
      <c r="AK16" s="4">
        <f t="shared" si="8"/>
        <v>17.887923570456074</v>
      </c>
      <c r="AL16" s="4">
        <f>AK16*('Input&amp;Output'!$D$32/100)</f>
        <v>7.1551694281824298</v>
      </c>
      <c r="AM16" s="8">
        <f t="shared" si="0"/>
        <v>8</v>
      </c>
      <c r="AN16" s="5"/>
      <c r="AO16" s="4">
        <f t="shared" si="9"/>
        <v>113.42743531802729</v>
      </c>
      <c r="AQ16" s="4">
        <f t="shared" si="10"/>
        <v>73.63951174757122</v>
      </c>
      <c r="AR16" s="4">
        <f>AK16*('Input&amp;Output'!$D$32/100)</f>
        <v>7.1551694281824298</v>
      </c>
      <c r="AS16" s="4">
        <f t="shared" si="1"/>
        <v>32.63275414227364</v>
      </c>
      <c r="AU16" s="4">
        <f>AS16/(1+'Input&amp;Output'!$D$33/100)^A16</f>
        <v>15.223420643940393</v>
      </c>
      <c r="AW16" s="4">
        <f t="shared" si="11"/>
        <v>223.21827806263593</v>
      </c>
      <c r="AX16" s="4">
        <f t="shared" si="2"/>
        <v>0</v>
      </c>
      <c r="AZ16" s="4">
        <f t="shared" si="12"/>
        <v>32.63275414227364</v>
      </c>
      <c r="BA16" s="4">
        <f t="shared" si="13"/>
        <v>7.5893356498304625</v>
      </c>
      <c r="BB16" s="4">
        <f t="shared" si="14"/>
        <v>2.2112072189179903</v>
      </c>
      <c r="BC16" s="4">
        <f t="shared" si="15"/>
        <v>0.75979051511440454</v>
      </c>
      <c r="BD16" s="4">
        <f t="shared" si="16"/>
        <v>0.29612405522886714</v>
      </c>
      <c r="BE16" s="4">
        <f t="shared" si="17"/>
        <v>0.12747169586825641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'Input&amp;Output'!$D$30*'Cash Flow'!C17</f>
        <v>96.859382968203093</v>
      </c>
      <c r="G17" s="4">
        <f>'Input&amp;Output'!$D$31*'Cash Flow'!D17</f>
        <v>10.896680583922848</v>
      </c>
      <c r="I17" s="4">
        <f t="shared" si="3"/>
        <v>107.75606355212594</v>
      </c>
      <c r="M17" s="4">
        <f>'Input&amp;Output'!$D$20*(1+('Input&amp;Output'!$G$20/100))^$A17</f>
        <v>1.1950925686223108</v>
      </c>
      <c r="N17" s="4">
        <f>'Input&amp;Output'!$D$21*(1+('Input&amp;Output'!$G$21/100))^$A17</f>
        <v>4.6539846479355473</v>
      </c>
      <c r="O17" s="4">
        <f>'Input&amp;Output'!$D$22*(1+('Input&amp;Output'!$G$22/100))^$A17</f>
        <v>8.447394795013464</v>
      </c>
      <c r="P17" s="4">
        <f>('Input&amp;Output'!$D$23*'Input&amp;Output'!$D$27*12/1000000)*(1+('Input&amp;Output'!$G$23/100))^$A17</f>
        <v>0.39372669816636996</v>
      </c>
      <c r="Q17" s="4">
        <f>('Input&amp;Output'!$D$24*'Input&amp;Output'!$D$27*365/1000000)*((1+('Input&amp;Output'!$G$24/100))^$A17)</f>
        <v>5.1639054432900027</v>
      </c>
      <c r="R17" s="4">
        <f>'Input&amp;Output'!$D$25*((1+('Input&amp;Output'!$G$25/100))^$A17)</f>
        <v>3.6769184248403097</v>
      </c>
      <c r="S17" s="4">
        <f>'Input&amp;Output'!$D$10*'Input&amp;Output'!$D$26*(1+('Input&amp;Output'!$G$26/100))^$A17</f>
        <v>55.153776372604646</v>
      </c>
      <c r="T17" s="4">
        <f t="shared" si="4"/>
        <v>78.684798950472654</v>
      </c>
      <c r="U17" s="4">
        <f t="shared" si="5"/>
        <v>78.684798950472654</v>
      </c>
      <c r="W17" s="4">
        <f t="shared" si="6"/>
        <v>107.75606355212594</v>
      </c>
      <c r="AG17" s="4">
        <f>IF(A17&lt;='Input&amp;Output'!$D$38,'Cash Flow'!$K$8/'Input&amp;Output'!$D$38,0)</f>
        <v>21.9</v>
      </c>
      <c r="AH17" s="4">
        <f t="shared" si="7"/>
        <v>78.684798950472654</v>
      </c>
      <c r="AK17" s="4">
        <f t="shared" si="8"/>
        <v>7.1712646016532844</v>
      </c>
      <c r="AL17" s="4">
        <f>AK17*('Input&amp;Output'!$D$32/100)</f>
        <v>2.8685058406613138</v>
      </c>
      <c r="AM17" s="8">
        <f t="shared" si="0"/>
        <v>9</v>
      </c>
      <c r="AN17" s="5"/>
      <c r="AO17" s="4">
        <f t="shared" si="9"/>
        <v>107.75606355212594</v>
      </c>
      <c r="AQ17" s="4">
        <f t="shared" si="10"/>
        <v>78.684798950472654</v>
      </c>
      <c r="AR17" s="4">
        <f>AK17*('Input&amp;Output'!$D$32/100)</f>
        <v>2.8685058406613138</v>
      </c>
      <c r="AS17" s="4">
        <f t="shared" si="1"/>
        <v>26.202758760991969</v>
      </c>
      <c r="AU17" s="4">
        <f>AS17/(1+'Input&amp;Output'!$D$33/100)^A17</f>
        <v>11.11252758532545</v>
      </c>
      <c r="AW17" s="4">
        <f t="shared" si="11"/>
        <v>249.4210368236279</v>
      </c>
      <c r="AX17" s="4">
        <f t="shared" si="2"/>
        <v>0</v>
      </c>
      <c r="AZ17" s="4">
        <f t="shared" si="12"/>
        <v>26.202758760991969</v>
      </c>
      <c r="BA17" s="4">
        <f t="shared" si="13"/>
        <v>5.0782701924192244</v>
      </c>
      <c r="BB17" s="4">
        <f t="shared" si="14"/>
        <v>1.2682202908171871</v>
      </c>
      <c r="BC17" s="4">
        <f t="shared" si="15"/>
        <v>0.38130032423930166</v>
      </c>
      <c r="BD17" s="4">
        <f t="shared" si="16"/>
        <v>0.13209746169377845</v>
      </c>
      <c r="BE17" s="4">
        <f t="shared" si="17"/>
        <v>5.117726320506244E-2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'Input&amp;Output'!$D$30*'Cash Flow'!C18</f>
        <v>92.01641381979293</v>
      </c>
      <c r="G18" s="4">
        <f>'Input&amp;Output'!$D$31*'Cash Flow'!D18</f>
        <v>10.351846554726706</v>
      </c>
      <c r="I18" s="4">
        <f t="shared" si="3"/>
        <v>102.36826037451964</v>
      </c>
      <c r="M18" s="4">
        <f>'Input&amp;Output'!$D$20*(1+('Input&amp;Output'!$G$20/100))^$A18</f>
        <v>1.2189944199947571</v>
      </c>
      <c r="N18" s="4">
        <f>'Input&amp;Output'!$D$21*(1+('Input&amp;Output'!$G$21/100))^$A18</f>
        <v>4.8866838803323249</v>
      </c>
      <c r="O18" s="4">
        <f>'Input&amp;Output'!$D$22*(1+('Input&amp;Output'!$G$22/100))^$A18</f>
        <v>8.9542384827142723</v>
      </c>
      <c r="P18" s="4">
        <f>('Input&amp;Output'!$D$23*'Input&amp;Output'!$D$27*12/1000000)*(1+('Input&amp;Output'!$G$23/100))^$A18</f>
        <v>0.3976639651480337</v>
      </c>
      <c r="Q18" s="4">
        <f>('Input&amp;Output'!$D$24*'Input&amp;Output'!$D$27*365/1000000)*((1+('Input&amp;Output'!$G$24/100))^$A18)</f>
        <v>5.6802959876190036</v>
      </c>
      <c r="R18" s="4">
        <f>'Input&amp;Output'!$D$25*((1+('Input&amp;Output'!$G$25/100))^$A18)</f>
        <v>3.9343027145791312</v>
      </c>
      <c r="S18" s="4">
        <f>'Input&amp;Output'!$D$10*'Input&amp;Output'!$D$26*(1+('Input&amp;Output'!$G$26/100))^$A18</f>
        <v>59.014540718686966</v>
      </c>
      <c r="T18" s="4">
        <f t="shared" si="4"/>
        <v>84.086720169074482</v>
      </c>
      <c r="U18" s="4">
        <f t="shared" si="5"/>
        <v>84.086720169074482</v>
      </c>
      <c r="W18" s="4">
        <f t="shared" si="6"/>
        <v>102.36826037451964</v>
      </c>
      <c r="AG18" s="4">
        <f>IF(A18&lt;='Input&amp;Output'!$D$38,'Cash Flow'!$K$8/'Input&amp;Output'!$D$38,0)</f>
        <v>21.9</v>
      </c>
      <c r="AH18" s="4">
        <f t="shared" si="7"/>
        <v>84.086720169074482</v>
      </c>
      <c r="AK18" s="4">
        <f t="shared" si="8"/>
        <v>0</v>
      </c>
      <c r="AL18" s="4">
        <f>AK18*('Input&amp;Output'!$D$32/100)</f>
        <v>0</v>
      </c>
      <c r="AM18" s="8">
        <f t="shared" si="0"/>
        <v>10</v>
      </c>
      <c r="AN18" s="5"/>
      <c r="AO18" s="4">
        <f t="shared" si="9"/>
        <v>102.36826037451964</v>
      </c>
      <c r="AQ18" s="4">
        <f t="shared" si="10"/>
        <v>84.086720169074482</v>
      </c>
      <c r="AR18" s="4">
        <f>AK18*('Input&amp;Output'!$D$32/100)</f>
        <v>0</v>
      </c>
      <c r="AS18" s="4">
        <f t="shared" si="1"/>
        <v>18.281540205445154</v>
      </c>
      <c r="AU18" s="4">
        <f>AS18/(1+'Input&amp;Output'!$D$33/100)^A18</f>
        <v>7.0483251466455572</v>
      </c>
      <c r="AW18" s="4">
        <f t="shared" si="11"/>
        <v>267.70257702907304</v>
      </c>
      <c r="AX18" s="4">
        <f t="shared" si="2"/>
        <v>0</v>
      </c>
      <c r="AZ18" s="4">
        <f t="shared" si="12"/>
        <v>18.281540205445154</v>
      </c>
      <c r="BA18" s="4">
        <f t="shared" si="13"/>
        <v>2.95257080700457</v>
      </c>
      <c r="BB18" s="4">
        <f t="shared" si="14"/>
        <v>0.63202233364099258</v>
      </c>
      <c r="BC18" s="4">
        <f t="shared" si="15"/>
        <v>0.16626963957101121</v>
      </c>
      <c r="BD18" s="4">
        <f t="shared" si="16"/>
        <v>5.1202094978283763E-2</v>
      </c>
      <c r="BE18" s="4">
        <f t="shared" si="17"/>
        <v>1.7853066606880033E-2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'Input&amp;Output'!$D$30*'Cash Flow'!C19</f>
        <v>87.41559312880328</v>
      </c>
      <c r="G19" s="4">
        <f>'Input&amp;Output'!$D$31*'Cash Flow'!D19</f>
        <v>9.8342542269903692</v>
      </c>
      <c r="I19" s="4">
        <f t="shared" si="3"/>
        <v>97.249847355793648</v>
      </c>
      <c r="M19" s="4">
        <f>'Input&amp;Output'!$D$20*(1+('Input&amp;Output'!$G$20/100))^$A19</f>
        <v>1.243374308394652</v>
      </c>
      <c r="N19" s="4">
        <f>'Input&amp;Output'!$D$21*(1+('Input&amp;Output'!$G$21/100))^$A19</f>
        <v>5.1310180743489413</v>
      </c>
      <c r="O19" s="4">
        <f>'Input&amp;Output'!$D$22*(1+('Input&amp;Output'!$G$22/100))^$A19</f>
        <v>9.4914927916771301</v>
      </c>
      <c r="P19" s="4">
        <f>('Input&amp;Output'!$D$23*'Input&amp;Output'!$D$27*12/1000000)*(1+('Input&amp;Output'!$G$23/100))^$A19</f>
        <v>0.40164060479951397</v>
      </c>
      <c r="Q19" s="4">
        <f>('Input&amp;Output'!$D$24*'Input&amp;Output'!$D$27*365/1000000)*((1+('Input&amp;Output'!$G$24/100))^$A19)</f>
        <v>6.2483255863809051</v>
      </c>
      <c r="R19" s="4">
        <f>'Input&amp;Output'!$D$25*((1+('Input&amp;Output'!$G$25/100))^$A19)</f>
        <v>4.2097039045996709</v>
      </c>
      <c r="S19" s="4">
        <f>'Input&amp;Output'!$D$10*'Input&amp;Output'!$D$26*(1+('Input&amp;Output'!$G$26/100))^$A19</f>
        <v>63.145558568995064</v>
      </c>
      <c r="T19" s="4">
        <f t="shared" si="4"/>
        <v>89.871113839195871</v>
      </c>
      <c r="U19" s="4">
        <f t="shared" si="5"/>
        <v>89.871113839195871</v>
      </c>
      <c r="W19" s="4">
        <f t="shared" si="6"/>
        <v>97.249847355793648</v>
      </c>
      <c r="AG19" s="4">
        <f>IF(A19&lt;='Input&amp;Output'!$D$38,'Cash Flow'!$K$8/'Input&amp;Output'!$D$38,0)</f>
        <v>0</v>
      </c>
      <c r="AH19" s="4">
        <f t="shared" si="7"/>
        <v>89.871113839195871</v>
      </c>
      <c r="AK19" s="4">
        <f t="shared" si="8"/>
        <v>7.3787335165977765</v>
      </c>
      <c r="AL19" s="4">
        <f>AK19*('Input&amp;Output'!$D$32/100)</f>
        <v>2.951493406639111</v>
      </c>
      <c r="AM19" s="8">
        <f t="shared" si="0"/>
        <v>11</v>
      </c>
      <c r="AN19" s="5"/>
      <c r="AO19" s="4">
        <f t="shared" si="9"/>
        <v>97.249847355793648</v>
      </c>
      <c r="AQ19" s="4">
        <f t="shared" si="10"/>
        <v>89.871113839195871</v>
      </c>
      <c r="AR19" s="4">
        <f>AK19*('Input&amp;Output'!$D$32/100)</f>
        <v>2.951493406639111</v>
      </c>
      <c r="AS19" s="4">
        <f t="shared" si="1"/>
        <v>4.4272401099586656</v>
      </c>
      <c r="AU19" s="4">
        <f>AS19/(1+'Input&amp;Output'!$D$33/100)^A19</f>
        <v>1.5517206500798402</v>
      </c>
      <c r="AW19" s="4">
        <f t="shared" si="11"/>
        <v>272.12981713903173</v>
      </c>
      <c r="AX19" s="4">
        <f t="shared" si="2"/>
        <v>0</v>
      </c>
      <c r="AZ19" s="4">
        <f t="shared" si="12"/>
        <v>4.4272401099586656</v>
      </c>
      <c r="BA19" s="4">
        <f t="shared" si="13"/>
        <v>0.59585332879348252</v>
      </c>
      <c r="BB19" s="4">
        <f t="shared" si="14"/>
        <v>0.10932630849168444</v>
      </c>
      <c r="BC19" s="4">
        <f t="shared" si="15"/>
        <v>2.5165946396774989E-2</v>
      </c>
      <c r="BD19" s="4">
        <f t="shared" si="16"/>
        <v>6.8886722178137447E-3</v>
      </c>
      <c r="BE19" s="4">
        <f t="shared" si="17"/>
        <v>2.1617383349407547E-3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'Input&amp;Output'!$D$30*'Cash Flow'!C20</f>
        <v>83.044813472363117</v>
      </c>
      <c r="G20" s="4">
        <f>'Input&amp;Output'!$D$31*'Cash Flow'!D20</f>
        <v>9.3425415156408498</v>
      </c>
      <c r="I20" s="4">
        <f t="shared" si="3"/>
        <v>92.387354988003963</v>
      </c>
      <c r="M20" s="4">
        <f>'Input&amp;Output'!$D$20*(1+('Input&amp;Output'!$G$20/100))^$A20</f>
        <v>1.2682417945625453</v>
      </c>
      <c r="N20" s="4">
        <f>'Input&amp;Output'!$D$21*(1+('Input&amp;Output'!$G$21/100))^$A20</f>
        <v>5.3875689780663878</v>
      </c>
      <c r="O20" s="4">
        <f>'Input&amp;Output'!$D$22*(1+('Input&amp;Output'!$G$22/100))^$A20</f>
        <v>10.060982359177759</v>
      </c>
      <c r="P20" s="4">
        <f>('Input&amp;Output'!$D$23*'Input&amp;Output'!$D$27*12/1000000)*(1+('Input&amp;Output'!$G$23/100))^$A20</f>
        <v>0.4056570108475091</v>
      </c>
      <c r="Q20" s="4">
        <f>('Input&amp;Output'!$D$24*'Input&amp;Output'!$D$27*365/1000000)*((1+('Input&amp;Output'!$G$24/100))^$A20)</f>
        <v>6.8731581450189951</v>
      </c>
      <c r="R20" s="4">
        <f>'Input&amp;Output'!$D$25*((1+('Input&amp;Output'!$G$25/100))^$A20)</f>
        <v>4.504383177921647</v>
      </c>
      <c r="S20" s="4">
        <f>'Input&amp;Output'!$D$10*'Input&amp;Output'!$D$26*(1+('Input&amp;Output'!$G$26/100))^$A20</f>
        <v>67.565747668824699</v>
      </c>
      <c r="T20" s="4">
        <f t="shared" si="4"/>
        <v>96.065739134419545</v>
      </c>
      <c r="U20" s="4">
        <f t="shared" si="5"/>
        <v>96.065739134419545</v>
      </c>
      <c r="W20" s="4">
        <f t="shared" si="6"/>
        <v>92.387354988003963</v>
      </c>
      <c r="AG20" s="4">
        <f>IF(A20&lt;='Input&amp;Output'!$D$38,'Cash Flow'!$K$8/'Input&amp;Output'!$D$38,0)</f>
        <v>0</v>
      </c>
      <c r="AH20" s="4">
        <f t="shared" si="7"/>
        <v>96.065739134419545</v>
      </c>
      <c r="AK20" s="4">
        <f t="shared" si="8"/>
        <v>0</v>
      </c>
      <c r="AL20" s="4">
        <f>AK20*('Input&amp;Output'!$D$32/100)</f>
        <v>0</v>
      </c>
      <c r="AM20" s="8">
        <f t="shared" si="0"/>
        <v>12</v>
      </c>
      <c r="AN20" s="5"/>
      <c r="AO20" s="4">
        <f t="shared" si="9"/>
        <v>92.387354988003963</v>
      </c>
      <c r="AQ20" s="4">
        <f t="shared" si="10"/>
        <v>96.065739134419545</v>
      </c>
      <c r="AR20" s="4">
        <f>AK20*('Input&amp;Output'!$D$32/100)</f>
        <v>0</v>
      </c>
      <c r="AS20" s="4">
        <f t="shared" si="1"/>
        <v>-3.6783841464155813</v>
      </c>
      <c r="AU20" s="4">
        <f>AS20/(1+'Input&amp;Output'!$D$33/100)^A20</f>
        <v>-1.1720465484252085</v>
      </c>
      <c r="AW20" s="4">
        <f t="shared" si="11"/>
        <v>268.45143299261616</v>
      </c>
      <c r="AX20" s="4">
        <f t="shared" si="2"/>
        <v>0</v>
      </c>
      <c r="AZ20" s="4">
        <f t="shared" si="12"/>
        <v>-3.6783841464155813</v>
      </c>
      <c r="BA20" s="4">
        <f t="shared" si="13"/>
        <v>-0.41255526087473349</v>
      </c>
      <c r="BB20" s="4">
        <f t="shared" si="14"/>
        <v>-6.4881465968794502E-2</v>
      </c>
      <c r="BC20" s="4">
        <f t="shared" si="15"/>
        <v>-1.3068245672853522E-2</v>
      </c>
      <c r="BD20" s="4">
        <f t="shared" si="16"/>
        <v>-3.1797063992859169E-3</v>
      </c>
      <c r="BE20" s="4">
        <f t="shared" si="17"/>
        <v>-8.9804300449599153E-4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'Input&amp;Output'!$D$30*'Cash Flow'!C21</f>
        <v>78.892572798744965</v>
      </c>
      <c r="G21" s="4">
        <f>'Input&amp;Output'!$D$31*'Cash Flow'!D21</f>
        <v>8.8754144398588082</v>
      </c>
      <c r="I21" s="4">
        <f t="shared" si="3"/>
        <v>87.76798723860378</v>
      </c>
      <c r="M21" s="4">
        <f>'Input&amp;Output'!$D$20*(1+('Input&amp;Output'!$G$20/100))^$A21</f>
        <v>1.2936066304537961</v>
      </c>
      <c r="N21" s="4">
        <f>'Input&amp;Output'!$D$21*(1+('Input&amp;Output'!$G$21/100))^$A21</f>
        <v>5.6569474269697082</v>
      </c>
      <c r="O21" s="4">
        <f>'Input&amp;Output'!$D$22*(1+('Input&amp;Output'!$G$22/100))^$A21</f>
        <v>10.664641300728427</v>
      </c>
      <c r="P21" s="4">
        <f>('Input&amp;Output'!$D$23*'Input&amp;Output'!$D$27*12/1000000)*(1+('Input&amp;Output'!$G$23/100))^$A21</f>
        <v>0.4097135809559842</v>
      </c>
      <c r="Q21" s="4">
        <f>('Input&amp;Output'!$D$24*'Input&amp;Output'!$D$27*365/1000000)*((1+('Input&amp;Output'!$G$24/100))^$A21)</f>
        <v>7.5604739595208956</v>
      </c>
      <c r="R21" s="4">
        <f>'Input&amp;Output'!$D$25*((1+('Input&amp;Output'!$G$25/100))^$A21)</f>
        <v>4.8196900003761627</v>
      </c>
      <c r="S21" s="4">
        <f>'Input&amp;Output'!$D$10*'Input&amp;Output'!$D$26*(1+('Input&amp;Output'!$G$26/100))^$A21</f>
        <v>72.295350005642433</v>
      </c>
      <c r="T21" s="4">
        <f t="shared" si="4"/>
        <v>102.70042290464741</v>
      </c>
      <c r="U21" s="4">
        <f t="shared" si="5"/>
        <v>102.70042290464741</v>
      </c>
      <c r="W21" s="4">
        <f t="shared" si="6"/>
        <v>87.76798723860378</v>
      </c>
      <c r="AG21" s="4">
        <f>IF(A21&lt;='Input&amp;Output'!$D$38,'Cash Flow'!$K$8/'Input&amp;Output'!$D$38,0)</f>
        <v>0</v>
      </c>
      <c r="AH21" s="4">
        <f t="shared" si="7"/>
        <v>102.70042290464741</v>
      </c>
      <c r="AK21" s="4">
        <f t="shared" si="8"/>
        <v>0</v>
      </c>
      <c r="AL21" s="4">
        <f>AK21*('Input&amp;Output'!$D$32/100)</f>
        <v>0</v>
      </c>
      <c r="AM21" s="8">
        <f t="shared" si="0"/>
        <v>13</v>
      </c>
      <c r="AN21" s="5"/>
      <c r="AO21" s="4">
        <f t="shared" si="9"/>
        <v>87.76798723860378</v>
      </c>
      <c r="AQ21" s="4">
        <f t="shared" si="10"/>
        <v>102.70042290464741</v>
      </c>
      <c r="AR21" s="4">
        <f>AK21*('Input&amp;Output'!$D$32/100)</f>
        <v>0</v>
      </c>
      <c r="AS21" s="4">
        <f t="shared" si="1"/>
        <v>-14.932435666043631</v>
      </c>
      <c r="AU21" s="4">
        <f>AS21/(1+'Input&amp;Output'!$D$33/100)^A21</f>
        <v>-4.3253947151625223</v>
      </c>
      <c r="AW21" s="4">
        <f t="shared" si="11"/>
        <v>253.51899732657253</v>
      </c>
      <c r="AX21" s="4">
        <f t="shared" si="2"/>
        <v>0</v>
      </c>
      <c r="AZ21" s="4">
        <f t="shared" si="12"/>
        <v>-14.932435666043631</v>
      </c>
      <c r="BA21" s="4">
        <f t="shared" si="13"/>
        <v>-1.3956433600749414</v>
      </c>
      <c r="BB21" s="4">
        <f t="shared" si="14"/>
        <v>-0.18813352313983384</v>
      </c>
      <c r="BC21" s="4">
        <f t="shared" si="15"/>
        <v>-3.3156667780351E-2</v>
      </c>
      <c r="BD21" s="4">
        <f t="shared" si="16"/>
        <v>-7.1711380979474727E-3</v>
      </c>
      <c r="BE21" s="4">
        <f t="shared" si="17"/>
        <v>-1.8228070881400917E-3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'Input&amp;Output'!$D$30*'Cash Flow'!C22</f>
        <v>74.947944158807701</v>
      </c>
      <c r="G22" s="4">
        <f>'Input&amp;Output'!$D$31*'Cash Flow'!D22</f>
        <v>8.4316437178658674</v>
      </c>
      <c r="I22" s="4">
        <f t="shared" si="3"/>
        <v>83.379587876673568</v>
      </c>
      <c r="M22" s="4">
        <f>'Input&amp;Output'!$D$20*(1+('Input&amp;Output'!$G$20/100))^$A22</f>
        <v>1.3194787630628722</v>
      </c>
      <c r="N22" s="4">
        <f>'Input&amp;Output'!$D$21*(1+('Input&amp;Output'!$G$21/100))^$A22</f>
        <v>5.939794798318192</v>
      </c>
      <c r="O22" s="4">
        <f>'Input&amp;Output'!$D$22*(1+('Input&amp;Output'!$G$22/100))^$A22</f>
        <v>11.30451977877213</v>
      </c>
      <c r="P22" s="4">
        <f>('Input&amp;Output'!$D$23*'Input&amp;Output'!$D$27*12/1000000)*(1+('Input&amp;Output'!$G$23/100))^$A22</f>
        <v>0.4138107167655441</v>
      </c>
      <c r="Q22" s="4">
        <f>('Input&amp;Output'!$D$24*'Input&amp;Output'!$D$27*365/1000000)*((1+('Input&amp;Output'!$G$24/100))^$A22)</f>
        <v>8.316521355472986</v>
      </c>
      <c r="R22" s="4">
        <f>'Input&amp;Output'!$D$25*((1+('Input&amp;Output'!$G$25/100))^$A22)</f>
        <v>5.1570683004024938</v>
      </c>
      <c r="S22" s="4">
        <f>'Input&amp;Output'!$D$10*'Input&amp;Output'!$D$26*(1+('Input&amp;Output'!$G$26/100))^$A22</f>
        <v>77.3560245060374</v>
      </c>
      <c r="T22" s="4">
        <f t="shared" si="4"/>
        <v>109.80721821883162</v>
      </c>
      <c r="U22" s="4">
        <f t="shared" si="5"/>
        <v>109.80721821883162</v>
      </c>
      <c r="W22" s="4">
        <f t="shared" si="6"/>
        <v>83.379587876673568</v>
      </c>
      <c r="AG22" s="4">
        <f>IF(A22&lt;='Input&amp;Output'!$D$38,'Cash Flow'!$K$8/'Input&amp;Output'!$D$38,0)</f>
        <v>0</v>
      </c>
      <c r="AH22" s="4">
        <f t="shared" si="7"/>
        <v>109.80721821883162</v>
      </c>
      <c r="AK22" s="4">
        <f t="shared" si="8"/>
        <v>0</v>
      </c>
      <c r="AL22" s="4">
        <f>AK22*('Input&amp;Output'!$D$32/100)</f>
        <v>0</v>
      </c>
      <c r="AM22" s="8">
        <f t="shared" si="0"/>
        <v>14</v>
      </c>
      <c r="AN22" s="5"/>
      <c r="AO22" s="4">
        <f t="shared" si="9"/>
        <v>83.379587876673568</v>
      </c>
      <c r="AQ22" s="4">
        <f t="shared" si="10"/>
        <v>109.80721821883162</v>
      </c>
      <c r="AR22" s="4">
        <f>AK22*('Input&amp;Output'!$D$32/100)</f>
        <v>0</v>
      </c>
      <c r="AS22" s="4">
        <f t="shared" si="1"/>
        <v>-26.427630342158054</v>
      </c>
      <c r="AU22" s="4">
        <f>AS22/(1+'Input&amp;Output'!$D$33/100)^A22</f>
        <v>-6.9592210463378912</v>
      </c>
      <c r="AW22" s="4">
        <f t="shared" si="11"/>
        <v>227.09136698441449</v>
      </c>
      <c r="AX22" s="4">
        <f t="shared" si="2"/>
        <v>0</v>
      </c>
      <c r="AZ22" s="4">
        <f t="shared" si="12"/>
        <v>-26.427630342158054</v>
      </c>
      <c r="BA22" s="4">
        <f t="shared" si="13"/>
        <v>-2.0583573701811395</v>
      </c>
      <c r="BB22" s="4">
        <f t="shared" si="14"/>
        <v>-0.23782950062065819</v>
      </c>
      <c r="BC22" s="4">
        <f t="shared" si="15"/>
        <v>-3.667570461518279E-2</v>
      </c>
      <c r="BD22" s="4">
        <f t="shared" si="16"/>
        <v>-7.0508772172781708E-3</v>
      </c>
      <c r="BE22" s="4">
        <f t="shared" si="17"/>
        <v>-1.6130145472508578E-3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'Input&amp;Output'!$D$30*'Cash Flow'!C23</f>
        <v>71.20054695086732</v>
      </c>
      <c r="G23" s="4">
        <f>'Input&amp;Output'!$D$31*'Cash Flow'!D23</f>
        <v>8.010061531972573</v>
      </c>
      <c r="I23" s="4">
        <f t="shared" si="3"/>
        <v>79.210608482839888</v>
      </c>
      <c r="M23" s="4">
        <f>'Input&amp;Output'!$D$20*(1+('Input&amp;Output'!$G$20/100))^$A23</f>
        <v>1.3458683383241292</v>
      </c>
      <c r="N23" s="4">
        <f>'Input&amp;Output'!$D$21*(1+('Input&amp;Output'!$G$21/100))^$A23</f>
        <v>6.2367845382341036</v>
      </c>
      <c r="O23" s="4">
        <f>'Input&amp;Output'!$D$22*(1+('Input&amp;Output'!$G$22/100))^$A23</f>
        <v>11.982790965498463</v>
      </c>
      <c r="P23" s="4">
        <f>('Input&amp;Output'!$D$23*'Input&amp;Output'!$D$27*12/1000000)*(1+('Input&amp;Output'!$G$23/100))^$A23</f>
        <v>0.41794882393319943</v>
      </c>
      <c r="Q23" s="4">
        <f>('Input&amp;Output'!$D$24*'Input&amp;Output'!$D$27*365/1000000)*((1+('Input&amp;Output'!$G$24/100))^$A23)</f>
        <v>9.1481734910202857</v>
      </c>
      <c r="R23" s="4">
        <f>'Input&amp;Output'!$D$25*((1+('Input&amp;Output'!$G$25/100))^$A23)</f>
        <v>5.518063081430669</v>
      </c>
      <c r="S23" s="4">
        <f>'Input&amp;Output'!$D$10*'Input&amp;Output'!$D$26*(1+('Input&amp;Output'!$G$26/100))^$A23</f>
        <v>82.770946221460036</v>
      </c>
      <c r="T23" s="4">
        <f t="shared" si="4"/>
        <v>117.42057545990087</v>
      </c>
      <c r="U23" s="4">
        <f t="shared" si="5"/>
        <v>117.42057545990087</v>
      </c>
      <c r="W23" s="4">
        <f t="shared" si="6"/>
        <v>79.210608482839888</v>
      </c>
      <c r="AG23" s="4">
        <f>IF(A23&lt;='Input&amp;Output'!$D$38,'Cash Flow'!$K$8/'Input&amp;Output'!$D$38,0)</f>
        <v>0</v>
      </c>
      <c r="AH23" s="4">
        <f t="shared" si="7"/>
        <v>117.42057545990087</v>
      </c>
      <c r="AK23" s="4">
        <f t="shared" si="8"/>
        <v>0</v>
      </c>
      <c r="AL23" s="4">
        <f>AK23*('Input&amp;Output'!$D$32/100)</f>
        <v>0</v>
      </c>
      <c r="AM23" s="8">
        <f t="shared" si="0"/>
        <v>15</v>
      </c>
      <c r="AN23" s="5"/>
      <c r="AO23" s="4">
        <f t="shared" si="9"/>
        <v>79.210608482839888</v>
      </c>
      <c r="AQ23" s="4">
        <f t="shared" si="10"/>
        <v>117.42057545990087</v>
      </c>
      <c r="AR23" s="4">
        <f>AK23*('Input&amp;Output'!$D$32/100)</f>
        <v>0</v>
      </c>
      <c r="AS23" s="4">
        <f t="shared" si="1"/>
        <v>-38.209966977060986</v>
      </c>
      <c r="AU23" s="4">
        <f>AS23/(1+'Input&amp;Output'!$D$33/100)^A23</f>
        <v>-9.147162300966686</v>
      </c>
      <c r="AW23" s="4">
        <f t="shared" si="11"/>
        <v>188.88140000735351</v>
      </c>
      <c r="AX23" s="4">
        <f t="shared" si="2"/>
        <v>0</v>
      </c>
      <c r="AZ23" s="4">
        <f t="shared" si="12"/>
        <v>-38.209966977060986</v>
      </c>
      <c r="BA23" s="4">
        <f t="shared" si="13"/>
        <v>-2.4800359233667666</v>
      </c>
      <c r="BB23" s="4">
        <f t="shared" si="14"/>
        <v>-0.24561570185746373</v>
      </c>
      <c r="BC23" s="4">
        <f t="shared" si="15"/>
        <v>-3.3141863365703066E-2</v>
      </c>
      <c r="BD23" s="4">
        <f t="shared" si="16"/>
        <v>-5.6635545227857517E-3</v>
      </c>
      <c r="BE23" s="4">
        <f t="shared" si="17"/>
        <v>-1.1660756523761287E-3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'Input&amp;Output'!$D$30*'Cash Flow'!C24</f>
        <v>67.640519603323952</v>
      </c>
      <c r="G24" s="4">
        <f>'Input&amp;Output'!$D$31*'Cash Flow'!D24</f>
        <v>7.6095584553739446</v>
      </c>
      <c r="I24" s="4">
        <f t="shared" si="3"/>
        <v>75.250078058697895</v>
      </c>
      <c r="M24" s="4">
        <f>'Input&amp;Output'!$D$20*(1+('Input&amp;Output'!$G$20/100))^$A24</f>
        <v>1.372785705090612</v>
      </c>
      <c r="N24" s="4">
        <f>'Input&amp;Output'!$D$21*(1+('Input&amp;Output'!$G$21/100))^$A24</f>
        <v>6.5486237651458081</v>
      </c>
      <c r="O24" s="4">
        <f>'Input&amp;Output'!$D$22*(1+('Input&amp;Output'!$G$22/100))^$A24</f>
        <v>12.701758423428366</v>
      </c>
      <c r="P24" s="4">
        <f>('Input&amp;Output'!$D$23*'Input&amp;Output'!$D$27*12/1000000)*(1+('Input&amp;Output'!$G$23/100))^$A24</f>
        <v>0.42212831217253155</v>
      </c>
      <c r="Q24" s="4">
        <f>('Input&amp;Output'!$D$24*'Input&amp;Output'!$D$27*365/1000000)*((1+('Input&amp;Output'!$G$24/100))^$A24)</f>
        <v>10.062990840122314</v>
      </c>
      <c r="R24" s="4">
        <f>'Input&amp;Output'!$D$25*((1+('Input&amp;Output'!$G$25/100))^$A24)</f>
        <v>5.9043274971308151</v>
      </c>
      <c r="S24" s="4">
        <f>'Input&amp;Output'!$D$10*'Input&amp;Output'!$D$26*(1+('Input&amp;Output'!$G$26/100))^$A24</f>
        <v>88.564912456962219</v>
      </c>
      <c r="T24" s="4">
        <f t="shared" si="4"/>
        <v>125.57752700005267</v>
      </c>
      <c r="U24" s="4">
        <f t="shared" si="5"/>
        <v>125.57752700005267</v>
      </c>
      <c r="W24" s="4">
        <f t="shared" si="6"/>
        <v>75.250078058697895</v>
      </c>
      <c r="AG24" s="4">
        <f>IF(A24&lt;='Input&amp;Output'!$D$38,'Cash Flow'!$K$8/'Input&amp;Output'!$D$38,0)</f>
        <v>0</v>
      </c>
      <c r="AH24" s="4">
        <f t="shared" si="7"/>
        <v>125.57752700005267</v>
      </c>
      <c r="AK24" s="4">
        <f t="shared" si="8"/>
        <v>0</v>
      </c>
      <c r="AL24" s="4">
        <f>AK24*('Input&amp;Output'!$D$32/100)</f>
        <v>0</v>
      </c>
      <c r="AM24" s="8">
        <f t="shared" si="0"/>
        <v>16</v>
      </c>
      <c r="AN24" s="5"/>
      <c r="AO24" s="4">
        <f t="shared" si="9"/>
        <v>75.250078058697895</v>
      </c>
      <c r="AQ24" s="4">
        <f t="shared" si="10"/>
        <v>125.57752700005267</v>
      </c>
      <c r="AR24" s="4">
        <f>AK24*('Input&amp;Output'!$D$32/100)</f>
        <v>0</v>
      </c>
      <c r="AS24" s="4">
        <f t="shared" si="1"/>
        <v>-50.327448941354774</v>
      </c>
      <c r="AU24" s="4">
        <f>AS24/(1+'Input&amp;Output'!$D$33/100)^A24</f>
        <v>-10.952719219629865</v>
      </c>
      <c r="AW24" s="4">
        <f t="shared" si="11"/>
        <v>138.55395106599872</v>
      </c>
      <c r="AX24" s="4">
        <f t="shared" si="2"/>
        <v>0</v>
      </c>
      <c r="AZ24" s="4">
        <f t="shared" si="12"/>
        <v>-50.327448941354774</v>
      </c>
      <c r="BA24" s="4">
        <f t="shared" si="13"/>
        <v>-2.7221056699005937</v>
      </c>
      <c r="BB24" s="4">
        <f t="shared" si="14"/>
        <v>-0.23107680071775635</v>
      </c>
      <c r="BC24" s="4">
        <f t="shared" si="15"/>
        <v>-2.7282564738935026E-2</v>
      </c>
      <c r="BD24" s="4">
        <f t="shared" si="16"/>
        <v>-4.1442393993866601E-3</v>
      </c>
      <c r="BE24" s="4">
        <f t="shared" si="17"/>
        <v>-7.6793592744987143E-4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'Input&amp;Output'!$D$30*'Cash Flow'!C25</f>
        <v>64.258493623157747</v>
      </c>
      <c r="G25" s="4">
        <f>'Input&amp;Output'!$D$31*'Cash Flow'!D25</f>
        <v>7.2290805326052467</v>
      </c>
      <c r="I25" s="4">
        <f t="shared" si="3"/>
        <v>71.487574155762999</v>
      </c>
      <c r="M25" s="4">
        <f>'Input&amp;Output'!$D$20*(1+('Input&amp;Output'!$G$20/100))^$A25</f>
        <v>1.4002414191924244</v>
      </c>
      <c r="N25" s="4">
        <f>'Input&amp;Output'!$D$21*(1+('Input&amp;Output'!$G$21/100))^$A25</f>
        <v>6.8760549534030995</v>
      </c>
      <c r="O25" s="4">
        <f>'Input&amp;Output'!$D$22*(1+('Input&amp;Output'!$G$22/100))^$A25</f>
        <v>13.463863928834069</v>
      </c>
      <c r="P25" s="4">
        <f>('Input&amp;Output'!$D$23*'Input&amp;Output'!$D$27*12/1000000)*(1+('Input&amp;Output'!$G$23/100))^$A25</f>
        <v>0.42634959529425687</v>
      </c>
      <c r="Q25" s="4">
        <f>('Input&amp;Output'!$D$24*'Input&amp;Output'!$D$27*365/1000000)*((1+('Input&amp;Output'!$G$24/100))^$A25)</f>
        <v>11.069289924134546</v>
      </c>
      <c r="R25" s="4">
        <f>'Input&amp;Output'!$D$25*((1+('Input&amp;Output'!$G$25/100))^$A25)</f>
        <v>6.3176304219299722</v>
      </c>
      <c r="S25" s="4">
        <f>'Input&amp;Output'!$D$10*'Input&amp;Output'!$D$26*(1+('Input&amp;Output'!$G$26/100))^$A25</f>
        <v>94.764456328949578</v>
      </c>
      <c r="T25" s="4">
        <f t="shared" si="4"/>
        <v>134.31788657173794</v>
      </c>
      <c r="U25" s="4">
        <f t="shared" si="5"/>
        <v>134.31788657173794</v>
      </c>
      <c r="W25" s="4">
        <f t="shared" si="6"/>
        <v>71.487574155762999</v>
      </c>
      <c r="AG25" s="4">
        <f>IF(A25&lt;='Input&amp;Output'!$D$38,'Cash Flow'!$K$8/'Input&amp;Output'!$D$38,0)</f>
        <v>0</v>
      </c>
      <c r="AH25" s="4">
        <f t="shared" si="7"/>
        <v>134.31788657173794</v>
      </c>
      <c r="AK25" s="4">
        <f t="shared" si="8"/>
        <v>0</v>
      </c>
      <c r="AL25" s="4">
        <f>AK25*('Input&amp;Output'!$D$32/100)</f>
        <v>0</v>
      </c>
      <c r="AM25" s="8">
        <f t="shared" si="0"/>
        <v>17</v>
      </c>
      <c r="AN25" s="5"/>
      <c r="AO25" s="4">
        <f t="shared" si="9"/>
        <v>71.487574155762999</v>
      </c>
      <c r="AQ25" s="4">
        <f t="shared" si="10"/>
        <v>134.31788657173794</v>
      </c>
      <c r="AR25" s="4">
        <f>AK25*('Input&amp;Output'!$D$32/100)</f>
        <v>0</v>
      </c>
      <c r="AS25" s="4">
        <f t="shared" si="1"/>
        <v>-62.830312415974944</v>
      </c>
      <c r="AU25" s="4">
        <f>AS25/(1+'Input&amp;Output'!$D$33/100)^A25</f>
        <v>-12.430642356830607</v>
      </c>
      <c r="AW25" s="4">
        <f t="shared" si="11"/>
        <v>75.723638650023773</v>
      </c>
      <c r="AX25" s="4">
        <f t="shared" si="2"/>
        <v>0</v>
      </c>
      <c r="AZ25" s="4">
        <f t="shared" si="12"/>
        <v>-62.830312415974944</v>
      </c>
      <c r="BA25" s="4">
        <f t="shared" si="13"/>
        <v>-2.8319660090535059</v>
      </c>
      <c r="BB25" s="4">
        <f t="shared" si="14"/>
        <v>-0.20605948623297546</v>
      </c>
      <c r="BC25" s="4">
        <f t="shared" si="15"/>
        <v>-2.1287737881044648E-2</v>
      </c>
      <c r="BD25" s="4">
        <f t="shared" si="16"/>
        <v>-2.8743300311511971E-3</v>
      </c>
      <c r="BE25" s="4">
        <f t="shared" si="17"/>
        <v>-4.7935724194316822E-4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'Input&amp;Output'!$D$30*'Cash Flow'!C26</f>
        <v>61.045568941999861</v>
      </c>
      <c r="G26" s="4">
        <f>'Input&amp;Output'!$D$31*'Cash Flow'!D26</f>
        <v>6.8676265059749841</v>
      </c>
      <c r="I26" s="4">
        <f t="shared" si="3"/>
        <v>67.913195447974843</v>
      </c>
      <c r="M26" s="4">
        <f>'Input&amp;Output'!$D$20*(1+('Input&amp;Output'!$G$20/100))^$A26</f>
        <v>1.4282462475762727</v>
      </c>
      <c r="N26" s="4">
        <f>'Input&amp;Output'!$D$21*(1+('Input&amp;Output'!$G$21/100))^$A26</f>
        <v>7.2198577010732539</v>
      </c>
      <c r="O26" s="4">
        <f>'Input&amp;Output'!$D$22*(1+('Input&amp;Output'!$G$22/100))^$A26</f>
        <v>14.271695764564114</v>
      </c>
      <c r="P26" s="4">
        <f>('Input&amp;Output'!$D$23*'Input&amp;Output'!$D$27*12/1000000)*(1+('Input&amp;Output'!$G$23/100))^$A26</f>
        <v>0.43061309124719949</v>
      </c>
      <c r="Q26" s="4">
        <f>('Input&amp;Output'!$D$24*'Input&amp;Output'!$D$27*365/1000000)*((1+('Input&amp;Output'!$G$24/100))^$A26)</f>
        <v>12.176218916548001</v>
      </c>
      <c r="R26" s="4">
        <f>'Input&amp;Output'!$D$25*((1+('Input&amp;Output'!$G$25/100))^$A26)</f>
        <v>6.7598645514650704</v>
      </c>
      <c r="S26" s="4">
        <f>'Input&amp;Output'!$D$10*'Input&amp;Output'!$D$26*(1+('Input&amp;Output'!$G$26/100))^$A26</f>
        <v>101.39796827197605</v>
      </c>
      <c r="T26" s="4">
        <f>SUM(M26:S26)</f>
        <v>143.68446454444995</v>
      </c>
      <c r="U26" s="4">
        <f t="shared" si="5"/>
        <v>143.68446454444995</v>
      </c>
      <c r="W26" s="4">
        <f t="shared" si="6"/>
        <v>67.913195447974843</v>
      </c>
      <c r="AG26" s="4">
        <f>IF(A26&lt;='Input&amp;Output'!$D$38,'Cash Flow'!$K$8/'Input&amp;Output'!$D$38,0)</f>
        <v>0</v>
      </c>
      <c r="AH26" s="4">
        <f t="shared" si="7"/>
        <v>143.68446454444995</v>
      </c>
      <c r="AK26" s="4">
        <f t="shared" si="8"/>
        <v>0</v>
      </c>
      <c r="AL26" s="4">
        <f>AK26*('Input&amp;Output'!$D$32/100)</f>
        <v>0</v>
      </c>
      <c r="AM26" s="8">
        <f t="shared" si="0"/>
        <v>18</v>
      </c>
      <c r="AN26" s="5"/>
      <c r="AO26" s="4">
        <f t="shared" si="9"/>
        <v>67.913195447974843</v>
      </c>
      <c r="AQ26" s="4">
        <f t="shared" si="10"/>
        <v>143.68446454444995</v>
      </c>
      <c r="AR26" s="4">
        <f>AK26*('Input&amp;Output'!$D$32/100)</f>
        <v>0</v>
      </c>
      <c r="AS26" s="4">
        <f t="shared" si="1"/>
        <v>-75.771269096475109</v>
      </c>
      <c r="AU26" s="4">
        <f>AS26/(1+'Input&amp;Output'!$D$33/100)^A26</f>
        <v>-13.62812876957741</v>
      </c>
      <c r="AW26" s="4">
        <f t="shared" si="11"/>
        <v>-4.7630446451336184E-2</v>
      </c>
      <c r="AX26" s="4">
        <f t="shared" si="2"/>
        <v>0</v>
      </c>
      <c r="AZ26" s="4">
        <f t="shared" si="12"/>
        <v>-75.771269096475109</v>
      </c>
      <c r="BA26" s="4">
        <f t="shared" si="13"/>
        <v>-2.8460474237790745</v>
      </c>
      <c r="BB26" s="4">
        <f t="shared" si="14"/>
        <v>-0.1775006382937091</v>
      </c>
      <c r="BC26" s="4">
        <f t="shared" si="15"/>
        <v>-1.604519034499647E-2</v>
      </c>
      <c r="BD26" s="4">
        <f t="shared" si="16"/>
        <v>-1.9257480619697964E-3</v>
      </c>
      <c r="BE26" s="4">
        <f t="shared" si="17"/>
        <v>-2.8904445303525966E-4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'Input&amp;Output'!$D$30*'Cash Flow'!C27</f>
        <v>57.993290494899867</v>
      </c>
      <c r="G27" s="4">
        <f>'Input&amp;Output'!$D$31*'Cash Flow'!D27</f>
        <v>6.5242451806762345</v>
      </c>
      <c r="I27" s="4">
        <f t="shared" si="3"/>
        <v>64.517535675576099</v>
      </c>
      <c r="M27" s="4">
        <f>'Input&amp;Output'!$D$20*(1+('Input&amp;Output'!$G$20/100))^$A27</f>
        <v>1.4568111725277981</v>
      </c>
      <c r="N27" s="4">
        <f>'Input&amp;Output'!$D$21*(1+('Input&amp;Output'!$G$21/100))^$A27</f>
        <v>7.5808505861269175</v>
      </c>
      <c r="O27" s="4">
        <f>'Input&amp;Output'!$D$22*(1+('Input&amp;Output'!$G$22/100))^$A27</f>
        <v>15.127997510437963</v>
      </c>
      <c r="P27" s="4">
        <f>('Input&amp;Output'!$D$23*'Input&amp;Output'!$D$27*12/1000000)*(1+('Input&amp;Output'!$G$23/100))^$A27</f>
        <v>0.43491922215967138</v>
      </c>
      <c r="Q27" s="4">
        <f>('Input&amp;Output'!$D$24*'Input&amp;Output'!$D$27*365/1000000)*((1+('Input&amp;Output'!$G$24/100))^$A27)</f>
        <v>13.393840808202803</v>
      </c>
      <c r="R27" s="4">
        <f>'Input&amp;Output'!$D$25*((1+('Input&amp;Output'!$G$25/100))^$A27)</f>
        <v>7.2330550700676257</v>
      </c>
      <c r="S27" s="4">
        <f>'Input&amp;Output'!$D$10*'Input&amp;Output'!$D$26*(1+('Input&amp;Output'!$G$26/100))^$A27</f>
        <v>108.49582605101439</v>
      </c>
      <c r="T27" s="4">
        <f>SUM(M27:S27)</f>
        <v>153.72330042053716</v>
      </c>
      <c r="U27" s="4">
        <f t="shared" si="5"/>
        <v>153.72330042053716</v>
      </c>
      <c r="W27" s="4">
        <f t="shared" si="6"/>
        <v>64.517535675576099</v>
      </c>
      <c r="AG27" s="4">
        <f>IF(A27&lt;='Input&amp;Output'!$D$38,'Cash Flow'!$K$8/'Input&amp;Output'!$D$38,0)</f>
        <v>0</v>
      </c>
      <c r="AH27" s="4">
        <f t="shared" si="7"/>
        <v>153.72330042053716</v>
      </c>
      <c r="AK27" s="4">
        <f t="shared" si="8"/>
        <v>0</v>
      </c>
      <c r="AL27" s="4">
        <f>AK27*('Input&amp;Output'!$D$32/100)</f>
        <v>0</v>
      </c>
      <c r="AM27" s="8">
        <f t="shared" si="0"/>
        <v>19</v>
      </c>
      <c r="AN27" s="5"/>
      <c r="AO27" s="4">
        <f t="shared" si="9"/>
        <v>64.517535675576099</v>
      </c>
      <c r="AQ27" s="4">
        <f t="shared" si="10"/>
        <v>153.72330042053716</v>
      </c>
      <c r="AR27" s="4">
        <f>AK27*('Input&amp;Output'!$D$32/100)</f>
        <v>0</v>
      </c>
      <c r="AS27" s="4">
        <f>AO27-AP27-AQ27-AR27</f>
        <v>-89.205764744961058</v>
      </c>
      <c r="AU27" s="4">
        <f>AS27/(1+'Input&amp;Output'!$D$33/100)^A27</f>
        <v>-14.585855363595169</v>
      </c>
      <c r="AW27" s="4">
        <f t="shared" si="11"/>
        <v>-89.253395191412395</v>
      </c>
      <c r="AX27" s="4">
        <f t="shared" si="2"/>
        <v>0</v>
      </c>
      <c r="AZ27" s="4">
        <f t="shared" si="12"/>
        <v>-89.205764744961058</v>
      </c>
      <c r="BA27" s="4">
        <f t="shared" si="13"/>
        <v>-2.7922175072210109</v>
      </c>
      <c r="BB27" s="4">
        <f t="shared" si="14"/>
        <v>-0.14926577590047863</v>
      </c>
      <c r="BC27" s="4">
        <f t="shared" si="15"/>
        <v>-1.1806284659999685E-2</v>
      </c>
      <c r="BD27" s="4">
        <f t="shared" si="16"/>
        <v>-1.2595497433159654E-3</v>
      </c>
      <c r="BE27" s="4">
        <f t="shared" si="17"/>
        <v>-1.7014649342529499E-4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'Input&amp;Output'!$D$30*'Cash Flow'!C28</f>
        <v>55.093625970154875</v>
      </c>
      <c r="G28" s="4">
        <f>'Input&amp;Output'!$D$31*'Cash Flow'!D28</f>
        <v>6.1980329216424241</v>
      </c>
      <c r="H28" s="11"/>
      <c r="I28" s="4">
        <f t="shared" si="3"/>
        <v>61.291658891797297</v>
      </c>
      <c r="M28" s="4">
        <f>'Input&amp;Output'!$D$20*(1+('Input&amp;Output'!$G$20/100))^$A28</f>
        <v>1.4859473959783542</v>
      </c>
      <c r="N28" s="4">
        <f>'Input&amp;Output'!$D$21*(1+('Input&amp;Output'!$G$21/100))^$A28</f>
        <v>7.9598931154332622</v>
      </c>
      <c r="O28" s="4">
        <f>'Input&amp;Output'!$D$22*(1+('Input&amp;Output'!$G$22/100))^$A28</f>
        <v>16.035677361064241</v>
      </c>
      <c r="P28" s="4">
        <f>('Input&amp;Output'!$D$23*'Input&amp;Output'!$D$27*12/1000000)*(1+('Input&amp;Output'!$G$23/100))^$A28</f>
        <v>0.43926841438126812</v>
      </c>
      <c r="Q28" s="4">
        <f>('Input&amp;Output'!$D$24*'Input&amp;Output'!$D$27*365/1000000)*((1+('Input&amp;Output'!$G$24/100))^$A28)</f>
        <v>14.733224889023084</v>
      </c>
      <c r="R28" s="4">
        <f>'Input&amp;Output'!$D$25*((1+('Input&amp;Output'!$G$25/100))^$A28)</f>
        <v>7.739368924972359</v>
      </c>
      <c r="S28" s="4">
        <f>'Input&amp;Output'!$D$10*'Input&amp;Output'!$D$26*(1+('Input&amp;Output'!$G$26/100))^$A28</f>
        <v>116.09053387458539</v>
      </c>
      <c r="T28" s="11">
        <f>SUM(M28:S28)</f>
        <v>164.48391397543796</v>
      </c>
      <c r="U28" s="4">
        <f t="shared" si="5"/>
        <v>164.48391397543796</v>
      </c>
      <c r="W28" s="4">
        <f t="shared" si="6"/>
        <v>61.291658891797297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IF(A28&lt;='Input&amp;Output'!$D$38,'Cash Flow'!$K$8/'Input&amp;Output'!$D$38,0)</f>
        <v>0</v>
      </c>
      <c r="AH28" s="4">
        <f t="shared" si="7"/>
        <v>164.48391397543796</v>
      </c>
      <c r="AI28" s="11"/>
      <c r="AJ28" s="11"/>
      <c r="AK28" s="4">
        <f t="shared" si="8"/>
        <v>0</v>
      </c>
      <c r="AL28" s="4">
        <f>AK28*('Input&amp;Output'!$D$32/100)</f>
        <v>0</v>
      </c>
      <c r="AM28" s="18">
        <f t="shared" si="0"/>
        <v>20</v>
      </c>
      <c r="AN28" s="5"/>
      <c r="AO28" s="4">
        <f t="shared" si="9"/>
        <v>61.291658891797297</v>
      </c>
      <c r="AP28" s="11"/>
      <c r="AQ28" s="4">
        <f t="shared" si="10"/>
        <v>164.48391397543796</v>
      </c>
      <c r="AR28" s="4">
        <f>AK28*('Input&amp;Output'!$D$32/100)</f>
        <v>0</v>
      </c>
      <c r="AS28" s="4">
        <f t="shared" si="1"/>
        <v>-103.19225508364066</v>
      </c>
      <c r="AU28" s="11">
        <f>AS28/(1+'Input&amp;Output'!$D$33/100)^A28</f>
        <v>-15.338871179625212</v>
      </c>
      <c r="AV28" s="14"/>
      <c r="AW28" s="4">
        <f t="shared" si="11"/>
        <v>-192.44565027505305</v>
      </c>
      <c r="AX28" s="4">
        <f t="shared" si="2"/>
        <v>0</v>
      </c>
      <c r="AZ28" s="4">
        <f t="shared" si="12"/>
        <v>-103.19225508364066</v>
      </c>
      <c r="BA28" s="4">
        <f t="shared" si="13"/>
        <v>-2.6916722822224113</v>
      </c>
      <c r="BB28" s="4">
        <f t="shared" si="14"/>
        <v>-0.12333501464697183</v>
      </c>
      <c r="BC28" s="4">
        <f t="shared" si="15"/>
        <v>-8.5358632770813972E-3</v>
      </c>
      <c r="BD28" s="4">
        <f t="shared" si="16"/>
        <v>-8.0946299811200846E-4</v>
      </c>
      <c r="BE28" s="4">
        <f t="shared" si="17"/>
        <v>-9.8411803325310383E-5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210.73737448879388</v>
      </c>
      <c r="I30" s="12">
        <f>SUM(I9:I29)</f>
        <v>2083.9584810558499</v>
      </c>
      <c r="M30" s="12">
        <f t="shared" ref="M30:W30" si="18">SUM(M9:M29)</f>
        <v>24.783317194896075</v>
      </c>
      <c r="N30" s="12">
        <f t="shared" si="18"/>
        <v>104.15775542409848</v>
      </c>
      <c r="O30" s="12">
        <f t="shared" si="18"/>
        <v>194.9636333788014</v>
      </c>
      <c r="P30" s="12">
        <f t="shared" si="18"/>
        <v>8.0061098525080752</v>
      </c>
      <c r="Q30" s="12">
        <f t="shared" si="18"/>
        <v>137.97547377925386</v>
      </c>
      <c r="R30" s="12">
        <f t="shared" si="18"/>
        <v>87.730353567434619</v>
      </c>
      <c r="S30" s="12">
        <f t="shared" si="18"/>
        <v>1315.9553035115193</v>
      </c>
      <c r="U30" s="12">
        <f t="shared" si="18"/>
        <v>1873.5719467085121</v>
      </c>
      <c r="W30" s="12">
        <f t="shared" si="18"/>
        <v>2083.9584810558499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459.58046155597759</v>
      </c>
      <c r="AL30" s="12">
        <f>SUM(AL9:AL29)</f>
        <v>183.83218462239105</v>
      </c>
      <c r="AM30" s="19" t="s">
        <v>82</v>
      </c>
      <c r="AO30" s="12">
        <f>SUM(AO8:AO29)</f>
        <v>2083.9584810558499</v>
      </c>
      <c r="AP30" s="12">
        <f>SUM(AP8:AP29)</f>
        <v>219</v>
      </c>
      <c r="AQ30" s="12">
        <f>SUM(AQ8:AQ29)</f>
        <v>1873.5719467085121</v>
      </c>
      <c r="AR30" s="12">
        <f>SUM(AR8:AR29)</f>
        <v>183.83218462239105</v>
      </c>
      <c r="AS30" s="12">
        <f>SUM(AS8:AS29)</f>
        <v>-192.44565027505305</v>
      </c>
      <c r="AU30" s="15">
        <f>SUM(AU8:AU29)</f>
        <v>24.314459992297945</v>
      </c>
      <c r="AX30" s="16">
        <f>SUM(AX8:AX29)</f>
        <v>3.0715527361693495</v>
      </c>
      <c r="AZ30" s="12">
        <f t="shared" ref="AZ30:BE30" si="19">SUM(AZ8:AZ29)</f>
        <v>-192.44565027505305</v>
      </c>
      <c r="BA30" s="12">
        <f t="shared" si="19"/>
        <v>4.6557518843102024</v>
      </c>
      <c r="BB30" s="12">
        <f t="shared" si="19"/>
        <v>-65.694835910267685</v>
      </c>
      <c r="BC30" s="12">
        <f t="shared" si="19"/>
        <v>-107.08677898531252</v>
      </c>
      <c r="BD30" s="12">
        <f t="shared" si="19"/>
        <v>-131.52998660479699</v>
      </c>
      <c r="BE30" s="12">
        <f t="shared" si="19"/>
        <v>-147.35215617137112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24.314459992297945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6.2556859617457938E-2</v>
      </c>
    </row>
    <row r="34" spans="45:48" ht="12" customHeight="1" thickBot="1" x14ac:dyDescent="0.25">
      <c r="AS34" s="75" t="s">
        <v>136</v>
      </c>
      <c r="AT34" s="76"/>
      <c r="AU34" s="77">
        <f>AX30</f>
        <v>3.0715527361693495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0.11102493147168012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3505-8AF0-4300-96C5-F18AC4F9536F}">
  <dimension ref="A1:BM35"/>
  <sheetViews>
    <sheetView topLeftCell="C1" workbookViewId="0">
      <selection activeCell="AZ8" sqref="AZ8:AZ28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>
        <f>'Input&amp;Output'!D20</f>
        <v>1</v>
      </c>
      <c r="N8" s="4">
        <f>'Input&amp;Output'!D21</f>
        <v>3</v>
      </c>
      <c r="O8" s="4">
        <f>'Input&amp;Output'!D22</f>
        <v>5</v>
      </c>
      <c r="P8" s="4">
        <f>'Input&amp;Output'!D23</f>
        <v>1000</v>
      </c>
      <c r="Q8" s="4">
        <f>'Input&amp;Output'!D24</f>
        <v>200</v>
      </c>
      <c r="R8" s="4">
        <f>'Input&amp;Output'!D25</f>
        <v>2</v>
      </c>
      <c r="S8" s="4">
        <f>'Input&amp;Output'!D10</f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IF(AND(AW9&gt;0,AW8&lt;0),A8+ABS(AW8/AS9),0)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'Input&amp;Output'!$D$5*365*0.5/1000</f>
        <v>3.65</v>
      </c>
      <c r="D9" s="4">
        <f>C9*'Input&amp;Output'!$D$7/1000</f>
        <v>5.4749999999999996</v>
      </c>
      <c r="F9" s="4">
        <f>'Input&amp;Output'!$D$30*C9</f>
        <v>73</v>
      </c>
      <c r="G9" s="4">
        <f>'Input&amp;Output'!$D$30*D9</f>
        <v>109.5</v>
      </c>
      <c r="I9" s="4">
        <f>F9+G9</f>
        <v>182.5</v>
      </c>
      <c r="M9" s="4">
        <f>'Input&amp;Output'!$D$20*(1+('Input&amp;Output'!$G$20/100))^ROW(A1)</f>
        <v>1.02</v>
      </c>
      <c r="N9" s="4">
        <f>'Input&amp;Output'!$D$21*(1+('Input&amp;Output'!$G$21/100))^ROW(A1)</f>
        <v>3.1500000000000004</v>
      </c>
      <c r="O9" s="4">
        <f>'Input&amp;Output'!$D$22*(1+('Input&amp;Output'!$G$22/100))^ROW(A1)</f>
        <v>5.3000000000000007</v>
      </c>
      <c r="P9" s="4">
        <f>('Input&amp;Output'!$D$23*'Input&amp;Output'!$D$27*12/1000000)*(1+('Input&amp;Output'!$G$23/100))^ROW(A1)</f>
        <v>0.36359999999999998</v>
      </c>
      <c r="Q9" s="4">
        <f>('Input&amp;Output'!$D$24*'Input&amp;Output'!$D$27*365/1000000)*((1+('Input&amp;Output'!$G$24/100))^ROW(A1))</f>
        <v>2.4090000000000003</v>
      </c>
      <c r="R9" s="4">
        <f>'Input&amp;Output'!$D$25*((1+('Input&amp;Output'!$G$25/100))^ROW(A1))</f>
        <v>2.14</v>
      </c>
      <c r="S9" s="4">
        <f>'Input&amp;Output'!$D$10*'Input&amp;Output'!$D$26*(1+('Input&amp;Output'!$G$26/100))^ROW(A1)</f>
        <v>32.1</v>
      </c>
      <c r="U9" s="4">
        <f>SUM(M9:S9)</f>
        <v>46.482600000000005</v>
      </c>
      <c r="W9" s="4">
        <f>I9</f>
        <v>182.5</v>
      </c>
      <c r="AG9" s="4">
        <f>IF(A9&lt;='Input&amp;Output'!$D$38,$K$8/'Input&amp;Output'!$D$38,0)</f>
        <v>21.9</v>
      </c>
      <c r="AH9" s="4">
        <f>U9</f>
        <v>46.482600000000005</v>
      </c>
      <c r="AK9" s="4">
        <f>MAX(0,W9-AH9-AG9)</f>
        <v>114.1174</v>
      </c>
      <c r="AL9" s="4">
        <f>AK9*('Input&amp;Output'!$D$32/100)</f>
        <v>45.646960000000007</v>
      </c>
      <c r="AM9" s="8"/>
      <c r="AN9" s="5"/>
      <c r="AO9" s="4">
        <f>I9</f>
        <v>182.5</v>
      </c>
      <c r="AQ9" s="4">
        <f>U9</f>
        <v>46.482600000000005</v>
      </c>
      <c r="AR9" s="4">
        <f>AL9</f>
        <v>45.646960000000007</v>
      </c>
      <c r="AS9" s="4">
        <f t="shared" ref="AS9:AS28" si="0">AO9-AP9-AQ9-AR9</f>
        <v>90.370440000000002</v>
      </c>
      <c r="AU9" s="4">
        <f>AS9/(1+'Input&amp;Output'!$D$33/100)^A9</f>
        <v>82.154945454545455</v>
      </c>
      <c r="AW9" s="4">
        <f>AW8+AS9</f>
        <v>-128.62956</v>
      </c>
      <c r="AX9" s="4">
        <f t="shared" ref="AX9:AX28" si="1">IF(AND(AW10&gt;0,AW9&lt;0),A9+ABS(AW9/AS10),0)</f>
        <v>0</v>
      </c>
      <c r="AZ9" s="4">
        <f t="shared" ref="AZ9:AZ28" si="2">$AS9/(1+AZ$5)^$A9</f>
        <v>90.370440000000002</v>
      </c>
      <c r="BA9" s="4">
        <f t="shared" ref="BA9:BE28" si="3">$AS9/(1+BA$5)^$A9</f>
        <v>75.308700000000002</v>
      </c>
      <c r="BB9" s="4">
        <f t="shared" si="3"/>
        <v>64.550314285714293</v>
      </c>
      <c r="BC9" s="4">
        <f t="shared" si="3"/>
        <v>56.481524999999998</v>
      </c>
      <c r="BD9" s="4">
        <f t="shared" si="3"/>
        <v>50.205799999999996</v>
      </c>
      <c r="BE9" s="4">
        <f t="shared" si="3"/>
        <v>45.185220000000001</v>
      </c>
    </row>
    <row r="10" spans="1:65" ht="12" customHeight="1" x14ac:dyDescent="0.2">
      <c r="A10" s="8">
        <v>2</v>
      </c>
      <c r="C10" s="4">
        <f>C9*(1-'Input&amp;Output'!$D$6/100)</f>
        <v>3.4674999999999998</v>
      </c>
      <c r="D10" s="4">
        <f>C10*'Input&amp;Output'!$D$7/1000</f>
        <v>5.2012499999999999</v>
      </c>
      <c r="F10" s="4">
        <f>'Input&amp;Output'!$D$30*C10</f>
        <v>69.349999999999994</v>
      </c>
      <c r="G10" s="4">
        <f>'Input&amp;Output'!$D$30*D10</f>
        <v>104.02500000000001</v>
      </c>
      <c r="I10" s="4">
        <f t="shared" ref="I10:I28" si="4">F10+G10</f>
        <v>173.375</v>
      </c>
      <c r="M10" s="4">
        <f>'Input&amp;Output'!$D$20*(1+('Input&amp;Output'!$G$20/100))^ROW(A2)</f>
        <v>1.0404</v>
      </c>
      <c r="N10" s="4">
        <f>'Input&amp;Output'!$D$21*(1+('Input&amp;Output'!$G$21/100))^ROW(A2)</f>
        <v>3.3075000000000001</v>
      </c>
      <c r="O10" s="4">
        <f>'Input&amp;Output'!$D$22*(1+('Input&amp;Output'!$G$22/100))^ROW(A2)</f>
        <v>5.6180000000000003</v>
      </c>
      <c r="P10" s="4">
        <f>('Input&amp;Output'!$D$23*'Input&amp;Output'!$D$27*12/1000000)*(1+('Input&amp;Output'!$G$23/100))^ROW(A2)</f>
        <v>0.36723600000000001</v>
      </c>
      <c r="Q10" s="4">
        <f>('Input&amp;Output'!$D$24*'Input&amp;Output'!$D$27*365/1000000)*((1+('Input&amp;Output'!$G$24/100))^ROW(A2))</f>
        <v>2.6499000000000001</v>
      </c>
      <c r="R10" s="4">
        <f>'Input&amp;Output'!$D$25*((1+('Input&amp;Output'!$G$25/100))^ROW(A2))</f>
        <v>2.2898000000000001</v>
      </c>
      <c r="S10" s="4">
        <f>'Input&amp;Output'!$D$10*'Input&amp;Output'!$D$26*(1+('Input&amp;Output'!$G$26/100))^ROW(A2)</f>
        <v>34.347000000000001</v>
      </c>
      <c r="U10" s="4">
        <f t="shared" ref="U10:U28" si="5">SUM(M10:S10)</f>
        <v>49.619836000000006</v>
      </c>
      <c r="W10" s="4">
        <f t="shared" ref="W10:W28" si="6">I10</f>
        <v>173.375</v>
      </c>
      <c r="AG10" s="4">
        <f>IF(A10&lt;='Input&amp;Output'!$D$38,$K$8/'Input&amp;Output'!$D$38,0)</f>
        <v>21.9</v>
      </c>
      <c r="AH10" s="4">
        <f t="shared" ref="AH10:AH28" si="7">U10</f>
        <v>49.619836000000006</v>
      </c>
      <c r="AK10" s="4">
        <f t="shared" ref="AK10:AK28" si="8">MAX(0,W10-AH10-AG10)</f>
        <v>101.855164</v>
      </c>
      <c r="AL10" s="4">
        <f>AK10*('Input&amp;Output'!$D$32/100)</f>
        <v>40.742065600000004</v>
      </c>
      <c r="AM10" s="8"/>
      <c r="AN10" s="5"/>
      <c r="AO10" s="4">
        <f t="shared" ref="AO10:AO28" si="9">I10</f>
        <v>173.375</v>
      </c>
      <c r="AQ10" s="4">
        <f t="shared" ref="AQ10:AQ28" si="10">U10</f>
        <v>49.619836000000006</v>
      </c>
      <c r="AR10" s="4">
        <f t="shared" ref="AR10:AR28" si="11">AL10</f>
        <v>40.742065600000004</v>
      </c>
      <c r="AS10" s="4">
        <f t="shared" si="0"/>
        <v>83.01309839999999</v>
      </c>
      <c r="AU10" s="4">
        <f>AS10/(1+'Input&amp;Output'!$D$33/100)^A10</f>
        <v>68.60586644628097</v>
      </c>
      <c r="AW10" s="4">
        <f t="shared" ref="AW10:AW28" si="12">AW9+AS10</f>
        <v>-45.616461600000008</v>
      </c>
      <c r="AX10" s="4">
        <f t="shared" si="1"/>
        <v>2.6018165801844098</v>
      </c>
      <c r="AZ10" s="4">
        <f t="shared" si="2"/>
        <v>83.01309839999999</v>
      </c>
      <c r="BA10" s="4">
        <f t="shared" si="3"/>
        <v>57.647984999999998</v>
      </c>
      <c r="BB10" s="4">
        <f t="shared" si="3"/>
        <v>42.353621632653059</v>
      </c>
      <c r="BC10" s="4">
        <f t="shared" si="3"/>
        <v>32.426991562499992</v>
      </c>
      <c r="BD10" s="4">
        <f t="shared" si="3"/>
        <v>25.621326666666661</v>
      </c>
      <c r="BE10" s="4">
        <f t="shared" si="3"/>
        <v>20.753274599999997</v>
      </c>
    </row>
    <row r="11" spans="1:65" ht="12" customHeight="1" x14ac:dyDescent="0.2">
      <c r="A11" s="8">
        <v>3</v>
      </c>
      <c r="C11" s="4">
        <f>C10*(1-'Input&amp;Output'!$D$6/100)</f>
        <v>3.2941249999999997</v>
      </c>
      <c r="D11" s="4">
        <f>C11*'Input&amp;Output'!$D$7/1000</f>
        <v>4.9411874999999998</v>
      </c>
      <c r="F11" s="4">
        <f>'Input&amp;Output'!$D$30*C11</f>
        <v>65.882499999999993</v>
      </c>
      <c r="G11" s="4">
        <f>'Input&amp;Output'!$D$30*D11</f>
        <v>98.82374999999999</v>
      </c>
      <c r="I11" s="4">
        <f t="shared" si="4"/>
        <v>164.70624999999998</v>
      </c>
      <c r="M11" s="4">
        <f>'Input&amp;Output'!$D$20*(1+('Input&amp;Output'!$G$20/100))^ROW(A3)</f>
        <v>1.0612079999999999</v>
      </c>
      <c r="N11" s="4">
        <f>'Input&amp;Output'!$D$21*(1+('Input&amp;Output'!$G$21/100))^ROW(A3)</f>
        <v>3.4728750000000002</v>
      </c>
      <c r="O11" s="4">
        <f>'Input&amp;Output'!$D$22*(1+('Input&amp;Output'!$G$22/100))^ROW(A3)</f>
        <v>5.9550800000000015</v>
      </c>
      <c r="P11" s="4">
        <f>('Input&amp;Output'!$D$23*'Input&amp;Output'!$D$27*12/1000000)*(1+('Input&amp;Output'!$G$23/100))^ROW(A3)</f>
        <v>0.37090835999999994</v>
      </c>
      <c r="Q11" s="4">
        <f>('Input&amp;Output'!$D$24*'Input&amp;Output'!$D$27*365/1000000)*((1+('Input&amp;Output'!$G$24/100))^ROW(A3))</f>
        <v>2.9148900000000006</v>
      </c>
      <c r="R11" s="4">
        <f>'Input&amp;Output'!$D$25*((1+('Input&amp;Output'!$G$25/100))^ROW(A3))</f>
        <v>2.4500860000000002</v>
      </c>
      <c r="S11" s="4">
        <f>'Input&amp;Output'!$D$10*'Input&amp;Output'!$D$26*(1+('Input&amp;Output'!$G$26/100))^ROW(A3)</f>
        <v>36.751290000000004</v>
      </c>
      <c r="U11" s="4">
        <f t="shared" si="5"/>
        <v>52.976337360000002</v>
      </c>
      <c r="W11" s="4">
        <f t="shared" si="6"/>
        <v>164.70624999999998</v>
      </c>
      <c r="AG11" s="4">
        <f>IF(A11&lt;='Input&amp;Output'!$D$38,$K$8/'Input&amp;Output'!$D$38,0)</f>
        <v>21.9</v>
      </c>
      <c r="AH11" s="4">
        <f t="shared" si="7"/>
        <v>52.976337360000002</v>
      </c>
      <c r="AK11" s="4">
        <f t="shared" si="8"/>
        <v>89.829912639999975</v>
      </c>
      <c r="AL11" s="4">
        <f>AK11*('Input&amp;Output'!$D$32/100)</f>
        <v>35.931965055999989</v>
      </c>
      <c r="AM11" s="8"/>
      <c r="AN11" s="5"/>
      <c r="AO11" s="4">
        <f t="shared" si="9"/>
        <v>164.70624999999998</v>
      </c>
      <c r="AQ11" s="4">
        <f t="shared" si="10"/>
        <v>52.976337360000002</v>
      </c>
      <c r="AR11" s="4">
        <f t="shared" si="11"/>
        <v>35.931965055999989</v>
      </c>
      <c r="AS11" s="4">
        <f t="shared" si="0"/>
        <v>75.797947583999985</v>
      </c>
      <c r="AU11" s="4">
        <f>AS11/(1+'Input&amp;Output'!$D$33/100)^A11</f>
        <v>56.948119897821158</v>
      </c>
      <c r="AW11" s="4">
        <f t="shared" si="12"/>
        <v>30.181485983999977</v>
      </c>
      <c r="AX11" s="4">
        <f t="shared" si="1"/>
        <v>0</v>
      </c>
      <c r="AZ11" s="4">
        <f t="shared" si="2"/>
        <v>75.797947583999985</v>
      </c>
      <c r="BA11" s="4">
        <f t="shared" si="3"/>
        <v>43.864552999999994</v>
      </c>
      <c r="BB11" s="4">
        <f t="shared" si="3"/>
        <v>27.623158740524783</v>
      </c>
      <c r="BC11" s="4">
        <f t="shared" si="3"/>
        <v>18.505358296874991</v>
      </c>
      <c r="BD11" s="4">
        <f t="shared" si="3"/>
        <v>12.996904592592589</v>
      </c>
      <c r="BE11" s="4">
        <f t="shared" si="3"/>
        <v>9.4747434479999981</v>
      </c>
    </row>
    <row r="12" spans="1:65" ht="12" customHeight="1" x14ac:dyDescent="0.2">
      <c r="A12" s="8">
        <v>4</v>
      </c>
      <c r="C12" s="4">
        <f>C11*(1-'Input&amp;Output'!$D$6/100)</f>
        <v>3.1294187499999997</v>
      </c>
      <c r="D12" s="4">
        <f>C12*'Input&amp;Output'!$D$7/1000</f>
        <v>4.6941281249999989</v>
      </c>
      <c r="F12" s="4">
        <f>'Input&amp;Output'!$D$30*C12</f>
        <v>62.588374999999992</v>
      </c>
      <c r="G12" s="4">
        <f>'Input&amp;Output'!$D$30*D12</f>
        <v>93.882562499999977</v>
      </c>
      <c r="I12" s="4">
        <f t="shared" si="4"/>
        <v>156.47093749999996</v>
      </c>
      <c r="M12" s="4">
        <f>'Input&amp;Output'!$D$20*(1+('Input&amp;Output'!$G$20/100))^ROW(A4)</f>
        <v>1.08243216</v>
      </c>
      <c r="N12" s="4">
        <f>'Input&amp;Output'!$D$21*(1+('Input&amp;Output'!$G$21/100))^ROW(A4)</f>
        <v>3.6465187500000003</v>
      </c>
      <c r="O12" s="4">
        <f>'Input&amp;Output'!$D$22*(1+('Input&amp;Output'!$G$22/100))^ROW(A4)</f>
        <v>6.312384800000002</v>
      </c>
      <c r="P12" s="4">
        <f>('Input&amp;Output'!$D$23*'Input&amp;Output'!$D$27*12/1000000)*(1+('Input&amp;Output'!$G$23/100))^ROW(A4)</f>
        <v>0.37461744359999999</v>
      </c>
      <c r="Q12" s="4">
        <f>('Input&amp;Output'!$D$24*'Input&amp;Output'!$D$27*365/1000000)*((1+('Input&amp;Output'!$G$24/100))^ROW(A4))</f>
        <v>3.206379000000001</v>
      </c>
      <c r="R12" s="4">
        <f>'Input&amp;Output'!$D$25*((1+('Input&amp;Output'!$G$25/100))^ROW(A4))</f>
        <v>2.62159202</v>
      </c>
      <c r="S12" s="4">
        <f>'Input&amp;Output'!$D$10*'Input&amp;Output'!$D$26*(1+('Input&amp;Output'!$G$26/100))^ROW(A4)</f>
        <v>39.323880299999999</v>
      </c>
      <c r="U12" s="4">
        <f t="shared" si="5"/>
        <v>56.567804473600006</v>
      </c>
      <c r="W12" s="4">
        <f t="shared" si="6"/>
        <v>156.47093749999996</v>
      </c>
      <c r="AG12" s="4">
        <f>IF(A12&lt;='Input&amp;Output'!$D$38,$K$8/'Input&amp;Output'!$D$38,0)</f>
        <v>21.9</v>
      </c>
      <c r="AH12" s="4">
        <f t="shared" si="7"/>
        <v>56.567804473600006</v>
      </c>
      <c r="AK12" s="4">
        <f t="shared" si="8"/>
        <v>78.003133026399951</v>
      </c>
      <c r="AL12" s="4">
        <f>AK12*('Input&amp;Output'!$D$32/100)</f>
        <v>31.201253210559983</v>
      </c>
      <c r="AM12" s="8"/>
      <c r="AN12" s="5"/>
      <c r="AO12" s="4">
        <f t="shared" si="9"/>
        <v>156.47093749999996</v>
      </c>
      <c r="AQ12" s="4">
        <f t="shared" si="10"/>
        <v>56.567804473600006</v>
      </c>
      <c r="AR12" s="4">
        <f t="shared" si="11"/>
        <v>31.201253210559983</v>
      </c>
      <c r="AS12" s="4">
        <f t="shared" si="0"/>
        <v>68.701879815839973</v>
      </c>
      <c r="AU12" s="4">
        <f>AS12/(1+'Input&amp;Output'!$D$33/100)^A12</f>
        <v>46.924308323092653</v>
      </c>
      <c r="AW12" s="4">
        <f t="shared" si="12"/>
        <v>98.88336579983995</v>
      </c>
      <c r="AX12" s="4">
        <f t="shared" si="1"/>
        <v>0</v>
      </c>
      <c r="AZ12" s="4">
        <f t="shared" si="2"/>
        <v>68.701879815839973</v>
      </c>
      <c r="BA12" s="4">
        <f t="shared" si="3"/>
        <v>33.131693584027765</v>
      </c>
      <c r="BB12" s="4">
        <f t="shared" si="3"/>
        <v>17.883663009121197</v>
      </c>
      <c r="BC12" s="4">
        <f t="shared" si="3"/>
        <v>10.48307492307128</v>
      </c>
      <c r="BD12" s="4">
        <f t="shared" si="3"/>
        <v>6.5445320659807917</v>
      </c>
      <c r="BE12" s="4">
        <f t="shared" si="3"/>
        <v>4.2938674884899983</v>
      </c>
    </row>
    <row r="13" spans="1:65" ht="12" customHeight="1" x14ac:dyDescent="0.2">
      <c r="A13" s="8">
        <v>5</v>
      </c>
      <c r="C13" s="4">
        <f>C12*(1-'Input&amp;Output'!$D$6/100)</f>
        <v>2.9729478124999997</v>
      </c>
      <c r="D13" s="4">
        <f>C13*'Input&amp;Output'!$D$7/1000</f>
        <v>4.4594217187499998</v>
      </c>
      <c r="F13" s="4">
        <f>'Input&amp;Output'!$D$30*C13</f>
        <v>59.458956249999993</v>
      </c>
      <c r="G13" s="4">
        <f>'Input&amp;Output'!$D$30*D13</f>
        <v>89.188434375</v>
      </c>
      <c r="I13" s="4">
        <f t="shared" si="4"/>
        <v>148.64739062499999</v>
      </c>
      <c r="M13" s="4">
        <f>'Input&amp;Output'!$D$20*(1+('Input&amp;Output'!$G$20/100))^ROW(A5)</f>
        <v>1.1040808032</v>
      </c>
      <c r="N13" s="4">
        <f>'Input&amp;Output'!$D$21*(1+('Input&amp;Output'!$G$21/100))^ROW(A5)</f>
        <v>3.8288446875000002</v>
      </c>
      <c r="O13" s="4">
        <f>'Input&amp;Output'!$D$22*(1+('Input&amp;Output'!$G$22/100))^ROW(A5)</f>
        <v>6.6911278880000022</v>
      </c>
      <c r="P13" s="4">
        <f>('Input&amp;Output'!$D$23*'Input&amp;Output'!$D$27*12/1000000)*(1+('Input&amp;Output'!$G$23/100))^ROW(A5)</f>
        <v>0.37836361803599994</v>
      </c>
      <c r="Q13" s="4">
        <f>('Input&amp;Output'!$D$24*'Input&amp;Output'!$D$27*365/1000000)*((1+('Input&amp;Output'!$G$24/100))^ROW(A5))</f>
        <v>3.5270169000000013</v>
      </c>
      <c r="R13" s="4">
        <f>'Input&amp;Output'!$D$25*((1+('Input&amp;Output'!$G$25/100))^ROW(A5))</f>
        <v>2.8051034614000003</v>
      </c>
      <c r="S13" s="4">
        <f>'Input&amp;Output'!$D$10*'Input&amp;Output'!$D$26*(1+('Input&amp;Output'!$G$26/100))^ROW(A5)</f>
        <v>42.076551921000004</v>
      </c>
      <c r="U13" s="4">
        <f t="shared" si="5"/>
        <v>60.411089279136007</v>
      </c>
      <c r="W13" s="4">
        <f t="shared" si="6"/>
        <v>148.64739062499999</v>
      </c>
      <c r="AG13" s="4">
        <f>IF(A13&lt;='Input&amp;Output'!$D$38,$K$8/'Input&amp;Output'!$D$38,0)</f>
        <v>21.9</v>
      </c>
      <c r="AH13" s="4">
        <f t="shared" si="7"/>
        <v>60.411089279136007</v>
      </c>
      <c r="AK13" s="4">
        <f t="shared" si="8"/>
        <v>66.336301345863973</v>
      </c>
      <c r="AL13" s="4">
        <f>AK13*('Input&amp;Output'!$D$32/100)</f>
        <v>26.534520538345589</v>
      </c>
      <c r="AM13" s="8"/>
      <c r="AN13" s="5"/>
      <c r="AO13" s="4">
        <f t="shared" si="9"/>
        <v>148.64739062499999</v>
      </c>
      <c r="AQ13" s="4">
        <f t="shared" si="10"/>
        <v>60.411089279136007</v>
      </c>
      <c r="AR13" s="4">
        <f t="shared" si="11"/>
        <v>26.534520538345589</v>
      </c>
      <c r="AS13" s="4">
        <f t="shared" si="0"/>
        <v>61.701780807518389</v>
      </c>
      <c r="AU13" s="4">
        <f>AS13/(1+'Input&amp;Output'!$D$33/100)^A13</f>
        <v>38.311951374110294</v>
      </c>
      <c r="AW13" s="4">
        <f t="shared" si="12"/>
        <v>160.58514660735835</v>
      </c>
      <c r="AX13" s="4">
        <f t="shared" si="1"/>
        <v>0</v>
      </c>
      <c r="AZ13" s="4">
        <f t="shared" si="2"/>
        <v>61.701780807518389</v>
      </c>
      <c r="BA13" s="4">
        <f t="shared" si="3"/>
        <v>24.796561860017359</v>
      </c>
      <c r="BB13" s="4">
        <f t="shared" si="3"/>
        <v>11.472485572886002</v>
      </c>
      <c r="BC13" s="4">
        <f t="shared" si="3"/>
        <v>5.8843403632658342</v>
      </c>
      <c r="BD13" s="4">
        <f t="shared" si="3"/>
        <v>3.2653908622245069</v>
      </c>
      <c r="BE13" s="4">
        <f t="shared" si="3"/>
        <v>1.9281806502349497</v>
      </c>
    </row>
    <row r="14" spans="1:65" ht="12" customHeight="1" x14ac:dyDescent="0.2">
      <c r="A14" s="8">
        <v>6</v>
      </c>
      <c r="C14" s="4">
        <f>C13*(1-'Input&amp;Output'!$D$6/100)</f>
        <v>2.8243004218749994</v>
      </c>
      <c r="D14" s="4">
        <f>C14*'Input&amp;Output'!$D$7/1000</f>
        <v>4.2364506328124989</v>
      </c>
      <c r="F14" s="4">
        <f>'Input&amp;Output'!$D$30*C14</f>
        <v>56.48600843749999</v>
      </c>
      <c r="G14" s="4">
        <f>'Input&amp;Output'!$D$30*D14</f>
        <v>84.729012656249978</v>
      </c>
      <c r="I14" s="4">
        <f t="shared" si="4"/>
        <v>141.21502109374995</v>
      </c>
      <c r="M14" s="4">
        <f>'Input&amp;Output'!$D$20*(1+('Input&amp;Output'!$G$20/100))^ROW(A6)</f>
        <v>1.1261624192640001</v>
      </c>
      <c r="N14" s="4">
        <f>'Input&amp;Output'!$D$21*(1+('Input&amp;Output'!$G$21/100))^ROW(A6)</f>
        <v>4.0202869218749999</v>
      </c>
      <c r="O14" s="4">
        <f>'Input&amp;Output'!$D$22*(1+('Input&amp;Output'!$G$22/100))^ROW(A6)</f>
        <v>7.0925955612800031</v>
      </c>
      <c r="P14" s="4">
        <f>('Input&amp;Output'!$D$23*'Input&amp;Output'!$D$27*12/1000000)*(1+('Input&amp;Output'!$G$23/100))^ROW(A6)</f>
        <v>0.38214725421636003</v>
      </c>
      <c r="Q14" s="4">
        <f>('Input&amp;Output'!$D$24*'Input&amp;Output'!$D$27*365/1000000)*((1+('Input&amp;Output'!$G$24/100))^ROW(A6))</f>
        <v>3.8797185900000017</v>
      </c>
      <c r="R14" s="4">
        <f>'Input&amp;Output'!$D$25*((1+('Input&amp;Output'!$G$25/100))^ROW(A6))</f>
        <v>3.0014607036980001</v>
      </c>
      <c r="S14" s="4">
        <f>'Input&amp;Output'!$D$10*'Input&amp;Output'!$D$26*(1+('Input&amp;Output'!$G$26/100))^ROW(A6)</f>
        <v>45.021910555470001</v>
      </c>
      <c r="U14" s="4">
        <f t="shared" si="5"/>
        <v>64.524282005803371</v>
      </c>
      <c r="W14" s="4">
        <f t="shared" si="6"/>
        <v>141.21502109374995</v>
      </c>
      <c r="AG14" s="4">
        <f>IF(A14&lt;='Input&amp;Output'!$D$38,$K$8/'Input&amp;Output'!$D$38,0)</f>
        <v>21.9</v>
      </c>
      <c r="AH14" s="4">
        <f t="shared" si="7"/>
        <v>64.524282005803371</v>
      </c>
      <c r="AK14" s="4">
        <f t="shared" si="8"/>
        <v>54.790739087946584</v>
      </c>
      <c r="AL14" s="4">
        <f>AK14*('Input&amp;Output'!$D$32/100)</f>
        <v>21.916295635178635</v>
      </c>
      <c r="AM14" s="8"/>
      <c r="AN14" s="5"/>
      <c r="AO14" s="4">
        <f t="shared" si="9"/>
        <v>141.21502109374995</v>
      </c>
      <c r="AQ14" s="4">
        <f t="shared" si="10"/>
        <v>64.524282005803371</v>
      </c>
      <c r="AR14" s="4">
        <f t="shared" si="11"/>
        <v>21.916295635178635</v>
      </c>
      <c r="AS14" s="4">
        <f t="shared" si="0"/>
        <v>54.774443452767947</v>
      </c>
      <c r="AU14" s="4">
        <f>AS14/(1+'Input&amp;Output'!$D$33/100)^A14</f>
        <v>30.918745362292306</v>
      </c>
      <c r="AW14" s="4">
        <f t="shared" si="12"/>
        <v>215.35959006012629</v>
      </c>
      <c r="AX14" s="4">
        <f t="shared" si="1"/>
        <v>0</v>
      </c>
      <c r="AZ14" s="4">
        <f t="shared" si="2"/>
        <v>54.774443452767947</v>
      </c>
      <c r="BA14" s="4">
        <f t="shared" si="3"/>
        <v>18.343850286126099</v>
      </c>
      <c r="BB14" s="4">
        <f t="shared" si="3"/>
        <v>7.2746107399935367</v>
      </c>
      <c r="BC14" s="4">
        <f t="shared" si="3"/>
        <v>3.2648112447719524</v>
      </c>
      <c r="BD14" s="4">
        <f t="shared" si="3"/>
        <v>1.610434044323827</v>
      </c>
      <c r="BE14" s="4">
        <f t="shared" si="3"/>
        <v>0.85585067894949918</v>
      </c>
    </row>
    <row r="15" spans="1:65" ht="12" customHeight="1" x14ac:dyDescent="0.2">
      <c r="A15" s="8">
        <v>7</v>
      </c>
      <c r="C15" s="4">
        <f>C14*(1-'Input&amp;Output'!$D$6/100)</f>
        <v>2.6830854007812492</v>
      </c>
      <c r="D15" s="4">
        <f>C15*'Input&amp;Output'!$D$7/1000</f>
        <v>4.0246281011718734</v>
      </c>
      <c r="F15" s="4">
        <f>'Input&amp;Output'!$D$30*C15</f>
        <v>53.661708015624981</v>
      </c>
      <c r="G15" s="4">
        <f>'Input&amp;Output'!$D$30*D15</f>
        <v>80.492562023437472</v>
      </c>
      <c r="I15" s="4">
        <f t="shared" si="4"/>
        <v>134.15427003906245</v>
      </c>
      <c r="M15" s="4">
        <f>'Input&amp;Output'!$D$20*(1+('Input&amp;Output'!$G$20/100))^ROW(A7)</f>
        <v>1.1486856676492798</v>
      </c>
      <c r="N15" s="4">
        <f>'Input&amp;Output'!$D$21*(1+('Input&amp;Output'!$G$21/100))^ROW(A7)</f>
        <v>4.2213012679687507</v>
      </c>
      <c r="O15" s="4">
        <f>'Input&amp;Output'!$D$22*(1+('Input&amp;Output'!$G$22/100))^ROW(A7)</f>
        <v>7.5181512949568043</v>
      </c>
      <c r="P15" s="4">
        <f>('Input&amp;Output'!$D$23*'Input&amp;Output'!$D$27*12/1000000)*(1+('Input&amp;Output'!$G$23/100))^ROW(A7)</f>
        <v>0.38596872675852351</v>
      </c>
      <c r="Q15" s="4">
        <f>('Input&amp;Output'!$D$24*'Input&amp;Output'!$D$27*365/1000000)*((1+('Input&amp;Output'!$G$24/100))^ROW(A7))</f>
        <v>4.2676904490000025</v>
      </c>
      <c r="R15" s="4">
        <f>'Input&amp;Output'!$D$25*((1+('Input&amp;Output'!$G$25/100))^ROW(A7))</f>
        <v>3.2115629529568603</v>
      </c>
      <c r="S15" s="4">
        <f>'Input&amp;Output'!$D$10*'Input&amp;Output'!$D$26*(1+('Input&amp;Output'!$G$26/100))^ROW(A7)</f>
        <v>48.173444294352905</v>
      </c>
      <c r="U15" s="4">
        <f t="shared" si="5"/>
        <v>68.926804653643131</v>
      </c>
      <c r="W15" s="4">
        <f t="shared" si="6"/>
        <v>134.15427003906245</v>
      </c>
      <c r="AG15" s="4">
        <f>IF(A15&lt;='Input&amp;Output'!$D$38,$K$8/'Input&amp;Output'!$D$38,0)</f>
        <v>21.9</v>
      </c>
      <c r="AH15" s="4">
        <f t="shared" si="7"/>
        <v>68.926804653643131</v>
      </c>
      <c r="AK15" s="4">
        <f t="shared" si="8"/>
        <v>43.327465385419323</v>
      </c>
      <c r="AL15" s="4">
        <f>AK15*('Input&amp;Output'!$D$32/100)</f>
        <v>17.330986154167729</v>
      </c>
      <c r="AM15" s="8"/>
      <c r="AN15" s="5"/>
      <c r="AO15" s="4">
        <f t="shared" si="9"/>
        <v>134.15427003906245</v>
      </c>
      <c r="AQ15" s="4">
        <f t="shared" si="10"/>
        <v>68.926804653643131</v>
      </c>
      <c r="AR15" s="4">
        <f t="shared" si="11"/>
        <v>17.330986154167729</v>
      </c>
      <c r="AS15" s="4">
        <f t="shared" si="0"/>
        <v>47.89647923125159</v>
      </c>
      <c r="AU15" s="4">
        <f>AS15/(1+'Input&amp;Output'!$D$33/100)^A15</f>
        <v>24.57846715218518</v>
      </c>
      <c r="AW15" s="4">
        <f t="shared" si="12"/>
        <v>263.25606929137791</v>
      </c>
      <c r="AX15" s="4">
        <f t="shared" si="1"/>
        <v>0</v>
      </c>
      <c r="AZ15" s="4">
        <f t="shared" si="2"/>
        <v>47.89647923125159</v>
      </c>
      <c r="BA15" s="4">
        <f t="shared" si="3"/>
        <v>13.367028320550164</v>
      </c>
      <c r="BB15" s="4">
        <f t="shared" si="3"/>
        <v>4.5436758492774914</v>
      </c>
      <c r="BC15" s="4">
        <f t="shared" si="3"/>
        <v>1.7842828941066398</v>
      </c>
      <c r="BD15" s="4">
        <f t="shared" si="3"/>
        <v>0.78234093508478297</v>
      </c>
      <c r="BE15" s="4">
        <f t="shared" si="3"/>
        <v>0.37419124399415304</v>
      </c>
    </row>
    <row r="16" spans="1:65" ht="12" customHeight="1" x14ac:dyDescent="0.2">
      <c r="A16" s="8">
        <v>8</v>
      </c>
      <c r="C16" s="4">
        <f>C15*(1-'Input&amp;Output'!$D$6/100)</f>
        <v>2.5489311307421865</v>
      </c>
      <c r="D16" s="4">
        <f>C16*'Input&amp;Output'!$D$7/1000</f>
        <v>3.8233966961132797</v>
      </c>
      <c r="F16" s="4">
        <f>'Input&amp;Output'!$D$30*C16</f>
        <v>50.978622614843729</v>
      </c>
      <c r="G16" s="4">
        <f>'Input&amp;Output'!$D$30*D16</f>
        <v>76.467933922265587</v>
      </c>
      <c r="I16" s="4">
        <f t="shared" si="4"/>
        <v>127.44655653710932</v>
      </c>
      <c r="M16" s="4">
        <f>'Input&amp;Output'!$D$20*(1+('Input&amp;Output'!$G$20/100))^ROW(A8)</f>
        <v>1.1716593810022655</v>
      </c>
      <c r="N16" s="4">
        <f>'Input&amp;Output'!$D$21*(1+('Input&amp;Output'!$G$21/100))^ROW(A8)</f>
        <v>4.4323663313671879</v>
      </c>
      <c r="O16" s="4">
        <f>'Input&amp;Output'!$D$22*(1+('Input&amp;Output'!$G$22/100))^ROW(A8)</f>
        <v>7.9692403726542116</v>
      </c>
      <c r="P16" s="4">
        <f>('Input&amp;Output'!$D$23*'Input&amp;Output'!$D$27*12/1000000)*(1+('Input&amp;Output'!$G$23/100))^ROW(A8)</f>
        <v>0.38982841402610885</v>
      </c>
      <c r="Q16" s="4">
        <f>('Input&amp;Output'!$D$24*'Input&amp;Output'!$D$27*365/1000000)*((1+('Input&amp;Output'!$G$24/100))^ROW(A8))</f>
        <v>4.6944594939000019</v>
      </c>
      <c r="R16" s="4">
        <f>'Input&amp;Output'!$D$25*((1+('Input&amp;Output'!$G$25/100))^ROW(A8))</f>
        <v>3.4363723596638405</v>
      </c>
      <c r="S16" s="4">
        <f>'Input&amp;Output'!$D$10*'Input&amp;Output'!$D$26*(1+('Input&amp;Output'!$G$26/100))^ROW(A8)</f>
        <v>51.545585394957605</v>
      </c>
      <c r="U16" s="4">
        <f t="shared" si="5"/>
        <v>73.63951174757122</v>
      </c>
      <c r="W16" s="4">
        <f t="shared" si="6"/>
        <v>127.44655653710932</v>
      </c>
      <c r="AG16" s="4">
        <f>IF(A16&lt;='Input&amp;Output'!$D$38,$K$8/'Input&amp;Output'!$D$38,0)</f>
        <v>21.9</v>
      </c>
      <c r="AH16" s="4">
        <f t="shared" si="7"/>
        <v>73.63951174757122</v>
      </c>
      <c r="AK16" s="4">
        <f t="shared" si="8"/>
        <v>31.907044789538098</v>
      </c>
      <c r="AL16" s="4">
        <f>AK16*('Input&amp;Output'!$D$32/100)</f>
        <v>12.762817915815241</v>
      </c>
      <c r="AM16" s="8"/>
      <c r="AN16" s="5"/>
      <c r="AO16" s="4">
        <f t="shared" si="9"/>
        <v>127.44655653710932</v>
      </c>
      <c r="AQ16" s="4">
        <f t="shared" si="10"/>
        <v>73.63951174757122</v>
      </c>
      <c r="AR16" s="4">
        <f t="shared" si="11"/>
        <v>12.762817915815241</v>
      </c>
      <c r="AS16" s="4">
        <f t="shared" si="0"/>
        <v>41.044226873722856</v>
      </c>
      <c r="AU16" s="4">
        <f>AS16/(1+'Input&amp;Output'!$D$33/100)^A16</f>
        <v>19.147434751594375</v>
      </c>
      <c r="AW16" s="4">
        <f t="shared" si="12"/>
        <v>304.30029616510075</v>
      </c>
      <c r="AX16" s="4">
        <f t="shared" si="1"/>
        <v>0</v>
      </c>
      <c r="AZ16" s="4">
        <f t="shared" si="2"/>
        <v>41.044226873722856</v>
      </c>
      <c r="BA16" s="4">
        <f t="shared" si="3"/>
        <v>9.5455753711253006</v>
      </c>
      <c r="BB16" s="4">
        <f t="shared" si="3"/>
        <v>2.7811716523342263</v>
      </c>
      <c r="BC16" s="4">
        <f t="shared" si="3"/>
        <v>0.95563537612843374</v>
      </c>
      <c r="BD16" s="4">
        <f t="shared" si="3"/>
        <v>0.3724534819399597</v>
      </c>
      <c r="BE16" s="4">
        <f t="shared" si="3"/>
        <v>0.16032901122547991</v>
      </c>
    </row>
    <row r="17" spans="1:57" ht="12" customHeight="1" x14ac:dyDescent="0.2">
      <c r="A17" s="8">
        <v>9</v>
      </c>
      <c r="C17" s="4">
        <f>C16*(1-'Input&amp;Output'!$D$6/100)</f>
        <v>2.4214845742050772</v>
      </c>
      <c r="D17" s="4">
        <f>C17*'Input&amp;Output'!$D$7/1000</f>
        <v>3.6322268613076156</v>
      </c>
      <c r="F17" s="4">
        <f>'Input&amp;Output'!$D$30*C17</f>
        <v>48.429691484101546</v>
      </c>
      <c r="G17" s="4">
        <f>'Input&amp;Output'!$D$30*D17</f>
        <v>72.644537226152309</v>
      </c>
      <c r="I17" s="4">
        <f t="shared" si="4"/>
        <v>121.07422871025386</v>
      </c>
      <c r="M17" s="4">
        <f>'Input&amp;Output'!$D$20*(1+('Input&amp;Output'!$G$20/100))^ROW(A9)</f>
        <v>1.1950925686223108</v>
      </c>
      <c r="N17" s="4">
        <f>'Input&amp;Output'!$D$21*(1+('Input&amp;Output'!$G$21/100))^ROW(A9)</f>
        <v>4.6539846479355473</v>
      </c>
      <c r="O17" s="4">
        <f>'Input&amp;Output'!$D$22*(1+('Input&amp;Output'!$G$22/100))^ROW(A9)</f>
        <v>8.447394795013464</v>
      </c>
      <c r="P17" s="4">
        <f>('Input&amp;Output'!$D$23*'Input&amp;Output'!$D$27*12/1000000)*(1+('Input&amp;Output'!$G$23/100))^ROW(A9)</f>
        <v>0.39372669816636996</v>
      </c>
      <c r="Q17" s="4">
        <f>('Input&amp;Output'!$D$24*'Input&amp;Output'!$D$27*365/1000000)*((1+('Input&amp;Output'!$G$24/100))^ROW(A9))</f>
        <v>5.1639054432900027</v>
      </c>
      <c r="R17" s="4">
        <f>'Input&amp;Output'!$D$25*((1+('Input&amp;Output'!$G$25/100))^ROW(A9))</f>
        <v>3.6769184248403097</v>
      </c>
      <c r="S17" s="4">
        <f>'Input&amp;Output'!$D$10*'Input&amp;Output'!$D$26*(1+('Input&amp;Output'!$G$26/100))^ROW(A9)</f>
        <v>55.153776372604646</v>
      </c>
      <c r="U17" s="4">
        <f t="shared" si="5"/>
        <v>78.684798950472654</v>
      </c>
      <c r="W17" s="4">
        <f t="shared" si="6"/>
        <v>121.07422871025386</v>
      </c>
      <c r="AG17" s="4">
        <f>IF(A17&lt;='Input&amp;Output'!$D$38,$K$8/'Input&amp;Output'!$D$38,0)</f>
        <v>21.9</v>
      </c>
      <c r="AH17" s="4">
        <f t="shared" si="7"/>
        <v>78.684798950472654</v>
      </c>
      <c r="AK17" s="4">
        <f t="shared" si="8"/>
        <v>20.48942975978121</v>
      </c>
      <c r="AL17" s="4">
        <f>AK17*('Input&amp;Output'!$D$32/100)</f>
        <v>8.195771903912485</v>
      </c>
      <c r="AM17" s="8"/>
      <c r="AN17" s="5"/>
      <c r="AO17" s="4">
        <f t="shared" si="9"/>
        <v>121.07422871025386</v>
      </c>
      <c r="AQ17" s="4">
        <f t="shared" si="10"/>
        <v>78.684798950472654</v>
      </c>
      <c r="AR17" s="4">
        <f t="shared" si="11"/>
        <v>8.195771903912485</v>
      </c>
      <c r="AS17" s="4">
        <f t="shared" si="0"/>
        <v>34.193657855868722</v>
      </c>
      <c r="AU17" s="4">
        <f>AS17/(1+'Input&amp;Output'!$D$33/100)^A17</f>
        <v>14.501448860117526</v>
      </c>
      <c r="AW17" s="4">
        <f t="shared" si="12"/>
        <v>338.49395402096945</v>
      </c>
      <c r="AX17" s="4">
        <f t="shared" si="1"/>
        <v>0</v>
      </c>
      <c r="AZ17" s="4">
        <f t="shared" si="2"/>
        <v>34.193657855868722</v>
      </c>
      <c r="BA17" s="4">
        <f t="shared" si="3"/>
        <v>6.6269599717776373</v>
      </c>
      <c r="BB17" s="4">
        <f t="shared" si="3"/>
        <v>1.6549818706353472</v>
      </c>
      <c r="BC17" s="4">
        <f t="shared" si="3"/>
        <v>0.49758321046638143</v>
      </c>
      <c r="BD17" s="4">
        <f t="shared" si="3"/>
        <v>0.17238243690241062</v>
      </c>
      <c r="BE17" s="4">
        <f t="shared" si="3"/>
        <v>6.6784487999743597E-2</v>
      </c>
    </row>
    <row r="18" spans="1:57" ht="12" customHeight="1" x14ac:dyDescent="0.2">
      <c r="A18" s="8">
        <v>10</v>
      </c>
      <c r="C18" s="4">
        <f>C17*(1-'Input&amp;Output'!$D$6/100)</f>
        <v>2.3004103454948233</v>
      </c>
      <c r="D18" s="4">
        <f>C18*'Input&amp;Output'!$D$7/1000</f>
        <v>3.4506155182422349</v>
      </c>
      <c r="F18" s="4">
        <f>'Input&amp;Output'!$D$30*C18</f>
        <v>46.008206909896465</v>
      </c>
      <c r="G18" s="4">
        <f>'Input&amp;Output'!$D$30*D18</f>
        <v>69.012310364844694</v>
      </c>
      <c r="I18" s="4">
        <f t="shared" si="4"/>
        <v>115.02051727474117</v>
      </c>
      <c r="M18" s="4">
        <f>'Input&amp;Output'!$D$20*(1+('Input&amp;Output'!$G$20/100))^ROW(A10)</f>
        <v>1.2189944199947571</v>
      </c>
      <c r="N18" s="4">
        <f>'Input&amp;Output'!$D$21*(1+('Input&amp;Output'!$G$21/100))^ROW(A10)</f>
        <v>4.8866838803323249</v>
      </c>
      <c r="O18" s="4">
        <f>'Input&amp;Output'!$D$22*(1+('Input&amp;Output'!$G$22/100))^ROW(A10)</f>
        <v>8.9542384827142723</v>
      </c>
      <c r="P18" s="4">
        <f>('Input&amp;Output'!$D$23*'Input&amp;Output'!$D$27*12/1000000)*(1+('Input&amp;Output'!$G$23/100))^ROW(A10)</f>
        <v>0.3976639651480337</v>
      </c>
      <c r="Q18" s="4">
        <f>('Input&amp;Output'!$D$24*'Input&amp;Output'!$D$27*365/1000000)*((1+('Input&amp;Output'!$G$24/100))^ROW(A10))</f>
        <v>5.6802959876190036</v>
      </c>
      <c r="R18" s="4">
        <f>'Input&amp;Output'!$D$25*((1+('Input&amp;Output'!$G$25/100))^ROW(A10))</f>
        <v>3.9343027145791312</v>
      </c>
      <c r="S18" s="4">
        <f>'Input&amp;Output'!$D$10*'Input&amp;Output'!$D$26*(1+('Input&amp;Output'!$G$26/100))^ROW(A10)</f>
        <v>59.014540718686966</v>
      </c>
      <c r="U18" s="4">
        <f t="shared" si="5"/>
        <v>84.086720169074482</v>
      </c>
      <c r="W18" s="4">
        <f t="shared" si="6"/>
        <v>115.02051727474117</v>
      </c>
      <c r="AG18" s="4">
        <f>IF(A18&lt;='Input&amp;Output'!$D$38,$K$8/'Input&amp;Output'!$D$38,0)</f>
        <v>21.9</v>
      </c>
      <c r="AH18" s="4">
        <f t="shared" si="7"/>
        <v>84.086720169074482</v>
      </c>
      <c r="AK18" s="4">
        <f t="shared" si="8"/>
        <v>9.0337971056666859</v>
      </c>
      <c r="AL18" s="4">
        <f>AK18*('Input&amp;Output'!$D$32/100)</f>
        <v>3.6135188422666746</v>
      </c>
      <c r="AM18" s="8"/>
      <c r="AN18" s="5"/>
      <c r="AO18" s="4">
        <f t="shared" si="9"/>
        <v>115.02051727474117</v>
      </c>
      <c r="AQ18" s="4">
        <f t="shared" si="10"/>
        <v>84.086720169074482</v>
      </c>
      <c r="AR18" s="4">
        <f t="shared" si="11"/>
        <v>3.6135188422666746</v>
      </c>
      <c r="AS18" s="4">
        <f t="shared" si="0"/>
        <v>27.320278263400009</v>
      </c>
      <c r="AU18" s="4">
        <f>AS18/(1+'Input&amp;Output'!$D$33/100)^A18</f>
        <v>10.533149949801368</v>
      </c>
      <c r="AW18" s="4">
        <f t="shared" si="12"/>
        <v>365.81423228436944</v>
      </c>
      <c r="AX18" s="4">
        <f t="shared" si="1"/>
        <v>0</v>
      </c>
      <c r="AZ18" s="4">
        <f t="shared" si="2"/>
        <v>27.320278263400009</v>
      </c>
      <c r="BA18" s="4">
        <f t="shared" si="3"/>
        <v>4.4123774656432015</v>
      </c>
      <c r="BB18" s="4">
        <f t="shared" si="3"/>
        <v>0.94450608809275149</v>
      </c>
      <c r="BC18" s="4">
        <f t="shared" si="3"/>
        <v>0.2484764833152438</v>
      </c>
      <c r="BD18" s="4">
        <f t="shared" si="3"/>
        <v>7.6517375820397221E-2</v>
      </c>
      <c r="BE18" s="4">
        <f t="shared" si="3"/>
        <v>2.6679959241601572E-2</v>
      </c>
    </row>
    <row r="19" spans="1:57" ht="12" customHeight="1" x14ac:dyDescent="0.2">
      <c r="A19" s="8">
        <v>11</v>
      </c>
      <c r="C19" s="4">
        <f>C18*(1-'Input&amp;Output'!$D$6/100)</f>
        <v>2.1853898282200821</v>
      </c>
      <c r="D19" s="4">
        <f>C19*'Input&amp;Output'!$D$7/1000</f>
        <v>3.2780847423301229</v>
      </c>
      <c r="F19" s="4">
        <f>'Input&amp;Output'!$D$30*C19</f>
        <v>43.70779656440164</v>
      </c>
      <c r="G19" s="4">
        <f>'Input&amp;Output'!$D$30*D19</f>
        <v>65.561694846602464</v>
      </c>
      <c r="I19" s="4">
        <f t="shared" si="4"/>
        <v>109.26949141100411</v>
      </c>
      <c r="M19" s="4">
        <f>'Input&amp;Output'!$D$20*(1+('Input&amp;Output'!$G$20/100))^ROW(A11)</f>
        <v>1.243374308394652</v>
      </c>
      <c r="N19" s="4">
        <f>'Input&amp;Output'!$D$21*(1+('Input&amp;Output'!$G$21/100))^ROW(A11)</f>
        <v>5.1310180743489413</v>
      </c>
      <c r="O19" s="4">
        <f>'Input&amp;Output'!$D$22*(1+('Input&amp;Output'!$G$22/100))^ROW(A11)</f>
        <v>9.4914927916771301</v>
      </c>
      <c r="P19" s="4">
        <f>('Input&amp;Output'!$D$23*'Input&amp;Output'!$D$27*12/1000000)*(1+('Input&amp;Output'!$G$23/100))^ROW(A11)</f>
        <v>0.40164060479951397</v>
      </c>
      <c r="Q19" s="4">
        <f>('Input&amp;Output'!$D$24*'Input&amp;Output'!$D$27*365/1000000)*((1+('Input&amp;Output'!$G$24/100))^ROW(A11))</f>
        <v>6.2483255863809051</v>
      </c>
      <c r="R19" s="4">
        <f>'Input&amp;Output'!$D$25*((1+('Input&amp;Output'!$G$25/100))^ROW(A11))</f>
        <v>4.2097039045996709</v>
      </c>
      <c r="S19" s="4">
        <f>'Input&amp;Output'!$D$10*'Input&amp;Output'!$D$26*(1+('Input&amp;Output'!$G$26/100))^ROW(A11)</f>
        <v>63.145558568995064</v>
      </c>
      <c r="U19" s="4">
        <f t="shared" si="5"/>
        <v>89.871113839195871</v>
      </c>
      <c r="W19" s="4">
        <f t="shared" si="6"/>
        <v>109.26949141100411</v>
      </c>
      <c r="AG19" s="4">
        <f>IF(A19&lt;='Input&amp;Output'!$D$38,$K$8/'Input&amp;Output'!$D$38,0)</f>
        <v>0</v>
      </c>
      <c r="AH19" s="4">
        <f t="shared" si="7"/>
        <v>89.871113839195871</v>
      </c>
      <c r="AK19" s="4">
        <f t="shared" si="8"/>
        <v>19.39837757180824</v>
      </c>
      <c r="AL19" s="4">
        <f>AK19*('Input&amp;Output'!$D$32/100)</f>
        <v>7.7593510287232963</v>
      </c>
      <c r="AM19" s="8"/>
      <c r="AN19" s="5"/>
      <c r="AO19" s="4">
        <f t="shared" si="9"/>
        <v>109.26949141100411</v>
      </c>
      <c r="AQ19" s="4">
        <f t="shared" si="10"/>
        <v>89.871113839195871</v>
      </c>
      <c r="AR19" s="4">
        <f t="shared" si="11"/>
        <v>7.7593510287232963</v>
      </c>
      <c r="AS19" s="4">
        <f t="shared" si="0"/>
        <v>11.639026543084944</v>
      </c>
      <c r="AU19" s="4">
        <f>AS19/(1+'Input&amp;Output'!$D$33/100)^A19</f>
        <v>4.0794077992532696</v>
      </c>
      <c r="AW19" s="4">
        <f t="shared" si="12"/>
        <v>377.45325882745436</v>
      </c>
      <c r="AX19" s="4">
        <f t="shared" si="1"/>
        <v>0</v>
      </c>
      <c r="AZ19" s="4">
        <f t="shared" si="2"/>
        <v>11.639026543084944</v>
      </c>
      <c r="BA19" s="4">
        <f t="shared" si="3"/>
        <v>1.5664731384261001</v>
      </c>
      <c r="BB19" s="4">
        <f t="shared" si="3"/>
        <v>0.28741422981101611</v>
      </c>
      <c r="BC19" s="4">
        <f t="shared" si="3"/>
        <v>6.6160206092063911E-2</v>
      </c>
      <c r="BD19" s="4">
        <f t="shared" si="3"/>
        <v>1.81100271949096E-2</v>
      </c>
      <c r="BE19" s="4">
        <f t="shared" si="3"/>
        <v>5.6831184292406951E-3</v>
      </c>
    </row>
    <row r="20" spans="1:57" ht="12" customHeight="1" x14ac:dyDescent="0.2">
      <c r="A20" s="8">
        <v>12</v>
      </c>
      <c r="C20" s="4">
        <f>C19*(1-'Input&amp;Output'!$D$6/100)</f>
        <v>2.0761203368090779</v>
      </c>
      <c r="D20" s="4">
        <f>C20*'Input&amp;Output'!$D$7/1000</f>
        <v>3.1141805052136169</v>
      </c>
      <c r="F20" s="4">
        <f>'Input&amp;Output'!$D$30*C20</f>
        <v>41.522406736181559</v>
      </c>
      <c r="G20" s="4">
        <f>'Input&amp;Output'!$D$30*D20</f>
        <v>62.283610104272341</v>
      </c>
      <c r="I20" s="4">
        <f t="shared" si="4"/>
        <v>103.80601684045391</v>
      </c>
      <c r="M20" s="4">
        <f>'Input&amp;Output'!$D$20*(1+('Input&amp;Output'!$G$20/100))^ROW(A12)</f>
        <v>1.2682417945625453</v>
      </c>
      <c r="N20" s="4">
        <f>'Input&amp;Output'!$D$21*(1+('Input&amp;Output'!$G$21/100))^ROW(A12)</f>
        <v>5.3875689780663878</v>
      </c>
      <c r="O20" s="4">
        <f>'Input&amp;Output'!$D$22*(1+('Input&amp;Output'!$G$22/100))^ROW(A12)</f>
        <v>10.060982359177759</v>
      </c>
      <c r="P20" s="4">
        <f>('Input&amp;Output'!$D$23*'Input&amp;Output'!$D$27*12/1000000)*(1+('Input&amp;Output'!$G$23/100))^ROW(A12)</f>
        <v>0.4056570108475091</v>
      </c>
      <c r="Q20" s="4">
        <f>('Input&amp;Output'!$D$24*'Input&amp;Output'!$D$27*365/1000000)*((1+('Input&amp;Output'!$G$24/100))^ROW(A12))</f>
        <v>6.8731581450189951</v>
      </c>
      <c r="R20" s="4">
        <f>'Input&amp;Output'!$D$25*((1+('Input&amp;Output'!$G$25/100))^ROW(A12))</f>
        <v>4.504383177921647</v>
      </c>
      <c r="S20" s="4">
        <f>'Input&amp;Output'!$D$10*'Input&amp;Output'!$D$26*(1+('Input&amp;Output'!$G$26/100))^ROW(A12)</f>
        <v>67.565747668824699</v>
      </c>
      <c r="U20" s="4">
        <f t="shared" si="5"/>
        <v>96.065739134419545</v>
      </c>
      <c r="W20" s="4">
        <f t="shared" si="6"/>
        <v>103.80601684045391</v>
      </c>
      <c r="AG20" s="4">
        <f>IF(A20&lt;='Input&amp;Output'!$D$38,$K$8/'Input&amp;Output'!$D$38,0)</f>
        <v>0</v>
      </c>
      <c r="AH20" s="4">
        <f t="shared" si="7"/>
        <v>96.065739134419545</v>
      </c>
      <c r="AK20" s="4">
        <f t="shared" si="8"/>
        <v>7.7402777060343624</v>
      </c>
      <c r="AL20" s="4">
        <f>AK20*('Input&amp;Output'!$D$32/100)</f>
        <v>3.0961110824137452</v>
      </c>
      <c r="AM20" s="8"/>
      <c r="AN20" s="5"/>
      <c r="AO20" s="4">
        <f t="shared" si="9"/>
        <v>103.80601684045391</v>
      </c>
      <c r="AQ20" s="4">
        <f t="shared" si="10"/>
        <v>96.065739134419545</v>
      </c>
      <c r="AR20" s="4">
        <f t="shared" si="11"/>
        <v>3.0961110824137452</v>
      </c>
      <c r="AS20" s="4">
        <f t="shared" si="0"/>
        <v>4.6441666236206167</v>
      </c>
      <c r="AU20" s="4">
        <f>AS20/(1+'Input&amp;Output'!$D$33/100)^A20</f>
        <v>1.4797746088673829</v>
      </c>
      <c r="AW20" s="4">
        <f t="shared" si="12"/>
        <v>382.09742545107497</v>
      </c>
      <c r="AX20" s="4">
        <f t="shared" si="1"/>
        <v>0</v>
      </c>
      <c r="AZ20" s="4">
        <f t="shared" si="2"/>
        <v>4.6441666236206167</v>
      </c>
      <c r="BA20" s="4">
        <f t="shared" si="3"/>
        <v>0.52087419276764901</v>
      </c>
      <c r="BB20" s="4">
        <f t="shared" si="3"/>
        <v>8.1916495599698394E-2</v>
      </c>
      <c r="BC20" s="4">
        <f t="shared" si="3"/>
        <v>1.649939429036568E-2</v>
      </c>
      <c r="BD20" s="4">
        <f t="shared" si="3"/>
        <v>4.0145579538957074E-3</v>
      </c>
      <c r="BE20" s="4">
        <f t="shared" si="3"/>
        <v>1.1338297420948771E-3</v>
      </c>
    </row>
    <row r="21" spans="1:57" ht="12" customHeight="1" x14ac:dyDescent="0.2">
      <c r="A21" s="8">
        <v>13</v>
      </c>
      <c r="C21" s="4">
        <f>C20*(1-'Input&amp;Output'!$D$6/100)</f>
        <v>1.9723143199686239</v>
      </c>
      <c r="D21" s="4">
        <f>C21*'Input&amp;Output'!$D$7/1000</f>
        <v>2.9584714799529359</v>
      </c>
      <c r="F21" s="4">
        <f>'Input&amp;Output'!$D$30*C21</f>
        <v>39.446286399372482</v>
      </c>
      <c r="G21" s="4">
        <f>'Input&amp;Output'!$D$30*D21</f>
        <v>59.169429599058716</v>
      </c>
      <c r="I21" s="4">
        <f t="shared" si="4"/>
        <v>98.615715998431199</v>
      </c>
      <c r="M21" s="4">
        <f>'Input&amp;Output'!$D$20*(1+('Input&amp;Output'!$G$20/100))^ROW(A13)</f>
        <v>1.2936066304537961</v>
      </c>
      <c r="N21" s="4">
        <f>'Input&amp;Output'!$D$21*(1+('Input&amp;Output'!$G$21/100))^ROW(A13)</f>
        <v>5.6569474269697082</v>
      </c>
      <c r="O21" s="4">
        <f>'Input&amp;Output'!$D$22*(1+('Input&amp;Output'!$G$22/100))^ROW(A13)</f>
        <v>10.664641300728427</v>
      </c>
      <c r="P21" s="4">
        <f>('Input&amp;Output'!$D$23*'Input&amp;Output'!$D$27*12/1000000)*(1+('Input&amp;Output'!$G$23/100))^ROW(A13)</f>
        <v>0.4097135809559842</v>
      </c>
      <c r="Q21" s="4">
        <f>('Input&amp;Output'!$D$24*'Input&amp;Output'!$D$27*365/1000000)*((1+('Input&amp;Output'!$G$24/100))^ROW(A13))</f>
        <v>7.5604739595208956</v>
      </c>
      <c r="R21" s="4">
        <f>'Input&amp;Output'!$D$25*((1+('Input&amp;Output'!$G$25/100))^ROW(A13))</f>
        <v>4.8196900003761627</v>
      </c>
      <c r="S21" s="4">
        <f>'Input&amp;Output'!$D$10*'Input&amp;Output'!$D$26*(1+('Input&amp;Output'!$G$26/100))^ROW(A13)</f>
        <v>72.295350005642433</v>
      </c>
      <c r="U21" s="4">
        <f t="shared" si="5"/>
        <v>102.70042290464741</v>
      </c>
      <c r="W21" s="4">
        <f t="shared" si="6"/>
        <v>98.615715998431199</v>
      </c>
      <c r="AG21" s="4">
        <f>IF(A21&lt;='Input&amp;Output'!$D$38,$K$8/'Input&amp;Output'!$D$38,0)</f>
        <v>0</v>
      </c>
      <c r="AH21" s="4">
        <f t="shared" si="7"/>
        <v>102.70042290464741</v>
      </c>
      <c r="AK21" s="4">
        <f t="shared" si="8"/>
        <v>0</v>
      </c>
      <c r="AL21" s="4">
        <f>AK21*('Input&amp;Output'!$D$32/100)</f>
        <v>0</v>
      </c>
      <c r="AM21" s="8"/>
      <c r="AN21" s="5"/>
      <c r="AO21" s="4">
        <f t="shared" si="9"/>
        <v>98.615715998431199</v>
      </c>
      <c r="AQ21" s="4">
        <f t="shared" si="10"/>
        <v>102.70042290464741</v>
      </c>
      <c r="AR21" s="4">
        <f t="shared" si="11"/>
        <v>0</v>
      </c>
      <c r="AS21" s="4">
        <f t="shared" si="0"/>
        <v>-4.084706906216212</v>
      </c>
      <c r="AU21" s="4">
        <f>AS21/(1+'Input&amp;Output'!$D$33/100)^A21</f>
        <v>-1.1831940923952839</v>
      </c>
      <c r="AW21" s="4">
        <f t="shared" si="12"/>
        <v>378.01271854485879</v>
      </c>
      <c r="AX21" s="4">
        <f t="shared" si="1"/>
        <v>0</v>
      </c>
      <c r="AZ21" s="4">
        <f t="shared" si="2"/>
        <v>-4.084706906216212</v>
      </c>
      <c r="BA21" s="4">
        <f t="shared" si="3"/>
        <v>-0.38177255198068738</v>
      </c>
      <c r="BB21" s="4">
        <f t="shared" si="3"/>
        <v>-5.1463158351826604E-2</v>
      </c>
      <c r="BC21" s="4">
        <f t="shared" si="3"/>
        <v>-9.0698713122532443E-3</v>
      </c>
      <c r="BD21" s="4">
        <f t="shared" si="3"/>
        <v>-1.9616355944346211E-3</v>
      </c>
      <c r="BE21" s="4">
        <f t="shared" si="3"/>
        <v>-4.9862144851272119E-4</v>
      </c>
    </row>
    <row r="22" spans="1:57" ht="12" customHeight="1" x14ac:dyDescent="0.2">
      <c r="A22" s="8">
        <v>14</v>
      </c>
      <c r="C22" s="4">
        <f>C21*(1-'Input&amp;Output'!$D$6/100)</f>
        <v>1.8736986039701926</v>
      </c>
      <c r="D22" s="4">
        <f>C22*'Input&amp;Output'!$D$7/1000</f>
        <v>2.8105479059552891</v>
      </c>
      <c r="F22" s="4">
        <f>'Input&amp;Output'!$D$30*C22</f>
        <v>37.47397207940385</v>
      </c>
      <c r="G22" s="4">
        <f>'Input&amp;Output'!$D$30*D22</f>
        <v>56.210958119105783</v>
      </c>
      <c r="I22" s="4">
        <f t="shared" si="4"/>
        <v>93.684930198509633</v>
      </c>
      <c r="M22" s="4">
        <f>'Input&amp;Output'!$D$20*(1+('Input&amp;Output'!$G$20/100))^ROW(A14)</f>
        <v>1.3194787630628722</v>
      </c>
      <c r="N22" s="4">
        <f>'Input&amp;Output'!$D$21*(1+('Input&amp;Output'!$G$21/100))^ROW(A14)</f>
        <v>5.939794798318192</v>
      </c>
      <c r="O22" s="4">
        <f>'Input&amp;Output'!$D$22*(1+('Input&amp;Output'!$G$22/100))^ROW(A14)</f>
        <v>11.30451977877213</v>
      </c>
      <c r="P22" s="4">
        <f>('Input&amp;Output'!$D$23*'Input&amp;Output'!$D$27*12/1000000)*(1+('Input&amp;Output'!$G$23/100))^ROW(A14)</f>
        <v>0.4138107167655441</v>
      </c>
      <c r="Q22" s="4">
        <f>('Input&amp;Output'!$D$24*'Input&amp;Output'!$D$27*365/1000000)*((1+('Input&amp;Output'!$G$24/100))^ROW(A14))</f>
        <v>8.316521355472986</v>
      </c>
      <c r="R22" s="4">
        <f>'Input&amp;Output'!$D$25*((1+('Input&amp;Output'!$G$25/100))^ROW(A14))</f>
        <v>5.1570683004024938</v>
      </c>
      <c r="S22" s="4">
        <f>'Input&amp;Output'!$D$10*'Input&amp;Output'!$D$26*(1+('Input&amp;Output'!$G$26/100))^ROW(A14)</f>
        <v>77.3560245060374</v>
      </c>
      <c r="U22" s="4">
        <f t="shared" si="5"/>
        <v>109.80721821883162</v>
      </c>
      <c r="W22" s="4">
        <f t="shared" si="6"/>
        <v>93.684930198509633</v>
      </c>
      <c r="AG22" s="4">
        <f>IF(A22&lt;='Input&amp;Output'!$D$38,$K$8/'Input&amp;Output'!$D$38,0)</f>
        <v>0</v>
      </c>
      <c r="AH22" s="4">
        <f t="shared" si="7"/>
        <v>109.80721821883162</v>
      </c>
      <c r="AK22" s="4">
        <f t="shared" si="8"/>
        <v>0</v>
      </c>
      <c r="AL22" s="4">
        <f>AK22*('Input&amp;Output'!$D$32/100)</f>
        <v>0</v>
      </c>
      <c r="AM22" s="8"/>
      <c r="AN22" s="5"/>
      <c r="AO22" s="4">
        <f t="shared" si="9"/>
        <v>93.684930198509633</v>
      </c>
      <c r="AQ22" s="4">
        <f t="shared" si="10"/>
        <v>109.80721821883162</v>
      </c>
      <c r="AR22" s="4">
        <f t="shared" si="11"/>
        <v>0</v>
      </c>
      <c r="AS22" s="4">
        <f t="shared" si="0"/>
        <v>-16.122288020321989</v>
      </c>
      <c r="AU22" s="4">
        <f>AS22/(1+'Input&amp;Output'!$D$33/100)^A22</f>
        <v>-4.2455023266752727</v>
      </c>
      <c r="AW22" s="4">
        <f t="shared" si="12"/>
        <v>361.89043052453678</v>
      </c>
      <c r="AX22" s="4">
        <f t="shared" si="1"/>
        <v>0</v>
      </c>
      <c r="AZ22" s="4">
        <f t="shared" si="2"/>
        <v>-16.122288020321989</v>
      </c>
      <c r="BA22" s="4">
        <f t="shared" si="3"/>
        <v>-1.2557096471065203</v>
      </c>
      <c r="BB22" s="4">
        <f t="shared" si="3"/>
        <v>-0.14508889594308172</v>
      </c>
      <c r="BC22" s="4">
        <f t="shared" si="3"/>
        <v>-2.2374169212249724E-2</v>
      </c>
      <c r="BD22" s="4">
        <f t="shared" si="3"/>
        <v>-4.3014175626463836E-3</v>
      </c>
      <c r="BE22" s="4">
        <f t="shared" si="3"/>
        <v>-9.8402636842785576E-4</v>
      </c>
    </row>
    <row r="23" spans="1:57" ht="12" customHeight="1" x14ac:dyDescent="0.2">
      <c r="A23" s="8">
        <v>15</v>
      </c>
      <c r="C23" s="4">
        <f>C22*(1-'Input&amp;Output'!$D$6/100)</f>
        <v>1.780013673771683</v>
      </c>
      <c r="D23" s="4">
        <f>C23*'Input&amp;Output'!$D$7/1000</f>
        <v>2.6700205106575243</v>
      </c>
      <c r="F23" s="4">
        <f>'Input&amp;Output'!$D$30*C23</f>
        <v>35.60027347543366</v>
      </c>
      <c r="G23" s="4">
        <f>'Input&amp;Output'!$D$30*D23</f>
        <v>53.400410213150487</v>
      </c>
      <c r="I23" s="4">
        <f t="shared" si="4"/>
        <v>89.000683688584147</v>
      </c>
      <c r="M23" s="4">
        <f>'Input&amp;Output'!$D$20*(1+('Input&amp;Output'!$G$20/100))^ROW(A15)</f>
        <v>1.3458683383241292</v>
      </c>
      <c r="N23" s="4">
        <f>'Input&amp;Output'!$D$21*(1+('Input&amp;Output'!$G$21/100))^ROW(A15)</f>
        <v>6.2367845382341036</v>
      </c>
      <c r="O23" s="4">
        <f>'Input&amp;Output'!$D$22*(1+('Input&amp;Output'!$G$22/100))^ROW(A15)</f>
        <v>11.982790965498463</v>
      </c>
      <c r="P23" s="4">
        <f>('Input&amp;Output'!$D$23*'Input&amp;Output'!$D$27*12/1000000)*(1+('Input&amp;Output'!$G$23/100))^ROW(A15)</f>
        <v>0.41794882393319943</v>
      </c>
      <c r="Q23" s="4">
        <f>('Input&amp;Output'!$D$24*'Input&amp;Output'!$D$27*365/1000000)*((1+('Input&amp;Output'!$G$24/100))^ROW(A15))</f>
        <v>9.1481734910202857</v>
      </c>
      <c r="R23" s="4">
        <f>'Input&amp;Output'!$D$25*((1+('Input&amp;Output'!$G$25/100))^ROW(A15))</f>
        <v>5.518063081430669</v>
      </c>
      <c r="S23" s="4">
        <f>'Input&amp;Output'!$D$10*'Input&amp;Output'!$D$26*(1+('Input&amp;Output'!$G$26/100))^ROW(A15)</f>
        <v>82.770946221460036</v>
      </c>
      <c r="U23" s="4">
        <f t="shared" si="5"/>
        <v>117.42057545990087</v>
      </c>
      <c r="W23" s="4">
        <f t="shared" si="6"/>
        <v>89.000683688584147</v>
      </c>
      <c r="AG23" s="4">
        <f>IF(A23&lt;='Input&amp;Output'!$D$38,$K$8/'Input&amp;Output'!$D$38,0)</f>
        <v>0</v>
      </c>
      <c r="AH23" s="4">
        <f t="shared" si="7"/>
        <v>117.42057545990087</v>
      </c>
      <c r="AK23" s="4">
        <f t="shared" si="8"/>
        <v>0</v>
      </c>
      <c r="AL23" s="4">
        <f>AK23*('Input&amp;Output'!$D$32/100)</f>
        <v>0</v>
      </c>
      <c r="AM23" s="8"/>
      <c r="AN23" s="5"/>
      <c r="AO23" s="4">
        <f t="shared" si="9"/>
        <v>89.000683688584147</v>
      </c>
      <c r="AQ23" s="4">
        <f t="shared" si="10"/>
        <v>117.42057545990087</v>
      </c>
      <c r="AR23" s="4">
        <f t="shared" si="11"/>
        <v>0</v>
      </c>
      <c r="AS23" s="4">
        <f t="shared" si="0"/>
        <v>-28.419891771316728</v>
      </c>
      <c r="AU23" s="4">
        <f>AS23/(1+'Input&amp;Output'!$D$33/100)^A23</f>
        <v>-6.8034961339853348</v>
      </c>
      <c r="AW23" s="4">
        <f t="shared" si="12"/>
        <v>333.47053875322007</v>
      </c>
      <c r="AX23" s="4">
        <f t="shared" si="1"/>
        <v>0</v>
      </c>
      <c r="AZ23" s="4">
        <f t="shared" si="2"/>
        <v>-28.419891771316728</v>
      </c>
      <c r="BA23" s="4">
        <f t="shared" si="3"/>
        <v>-1.8446064759326932</v>
      </c>
      <c r="BB23" s="4">
        <f t="shared" si="3"/>
        <v>-0.18268457725482254</v>
      </c>
      <c r="BC23" s="4">
        <f t="shared" si="3"/>
        <v>-2.4650326720211564E-2</v>
      </c>
      <c r="BD23" s="4">
        <f t="shared" si="3"/>
        <v>-4.2124508161745311E-3</v>
      </c>
      <c r="BE23" s="4">
        <f t="shared" si="3"/>
        <v>-8.6730626743520287E-4</v>
      </c>
    </row>
    <row r="24" spans="1:57" ht="12" customHeight="1" x14ac:dyDescent="0.2">
      <c r="A24" s="8">
        <v>16</v>
      </c>
      <c r="C24" s="4">
        <f>C23*(1-'Input&amp;Output'!$D$6/100)</f>
        <v>1.6910129900830988</v>
      </c>
      <c r="D24" s="4">
        <f>C24*'Input&amp;Output'!$D$7/1000</f>
        <v>2.5365194851246482</v>
      </c>
      <c r="F24" s="4">
        <f>'Input&amp;Output'!$D$30*C24</f>
        <v>33.820259801661976</v>
      </c>
      <c r="G24" s="4">
        <f>'Input&amp;Output'!$D$30*D24</f>
        <v>50.730389702492964</v>
      </c>
      <c r="I24" s="4">
        <f t="shared" si="4"/>
        <v>84.550649504154933</v>
      </c>
      <c r="M24" s="4">
        <f>'Input&amp;Output'!$D$20*(1+('Input&amp;Output'!$G$20/100))^ROW(A16)</f>
        <v>1.372785705090612</v>
      </c>
      <c r="N24" s="4">
        <f>'Input&amp;Output'!$D$21*(1+('Input&amp;Output'!$G$21/100))^ROW(A16)</f>
        <v>6.5486237651458081</v>
      </c>
      <c r="O24" s="4">
        <f>'Input&amp;Output'!$D$22*(1+('Input&amp;Output'!$G$22/100))^ROW(A16)</f>
        <v>12.701758423428366</v>
      </c>
      <c r="P24" s="4">
        <f>('Input&amp;Output'!$D$23*'Input&amp;Output'!$D$27*12/1000000)*(1+('Input&amp;Output'!$G$23/100))^ROW(A16)</f>
        <v>0.42212831217253155</v>
      </c>
      <c r="Q24" s="4">
        <f>('Input&amp;Output'!$D$24*'Input&amp;Output'!$D$27*365/1000000)*((1+('Input&amp;Output'!$G$24/100))^ROW(A16))</f>
        <v>10.062990840122314</v>
      </c>
      <c r="R24" s="4">
        <f>'Input&amp;Output'!$D$25*((1+('Input&amp;Output'!$G$25/100))^ROW(A16))</f>
        <v>5.9043274971308151</v>
      </c>
      <c r="S24" s="4">
        <f>'Input&amp;Output'!$D$10*'Input&amp;Output'!$D$26*(1+('Input&amp;Output'!$G$26/100))^ROW(A16)</f>
        <v>88.564912456962219</v>
      </c>
      <c r="U24" s="4">
        <f t="shared" si="5"/>
        <v>125.57752700005267</v>
      </c>
      <c r="W24" s="4">
        <f t="shared" si="6"/>
        <v>84.550649504154933</v>
      </c>
      <c r="AG24" s="4">
        <f>IF(A24&lt;='Input&amp;Output'!$D$38,$K$8/'Input&amp;Output'!$D$38,0)</f>
        <v>0</v>
      </c>
      <c r="AH24" s="4">
        <f t="shared" si="7"/>
        <v>125.57752700005267</v>
      </c>
      <c r="AK24" s="4">
        <f t="shared" si="8"/>
        <v>0</v>
      </c>
      <c r="AL24" s="4">
        <f>AK24*('Input&amp;Output'!$D$32/100)</f>
        <v>0</v>
      </c>
      <c r="AM24" s="8"/>
      <c r="AN24" s="5"/>
      <c r="AO24" s="4">
        <f t="shared" si="9"/>
        <v>84.550649504154933</v>
      </c>
      <c r="AQ24" s="4">
        <f t="shared" si="10"/>
        <v>125.57752700005267</v>
      </c>
      <c r="AR24" s="4">
        <f t="shared" si="11"/>
        <v>0</v>
      </c>
      <c r="AS24" s="4">
        <f t="shared" si="0"/>
        <v>-41.026877495897736</v>
      </c>
      <c r="AU24" s="4">
        <f>AS24/(1+'Input&amp;Output'!$D$33/100)^A24</f>
        <v>-8.9286438936005172</v>
      </c>
      <c r="AW24" s="4">
        <f t="shared" si="12"/>
        <v>292.44366125732233</v>
      </c>
      <c r="AX24" s="4">
        <f t="shared" si="1"/>
        <v>0</v>
      </c>
      <c r="AZ24" s="4">
        <f t="shared" si="2"/>
        <v>-41.026877495897736</v>
      </c>
      <c r="BA24" s="4">
        <f t="shared" si="3"/>
        <v>-2.2190573573486194</v>
      </c>
      <c r="BB24" s="4">
        <f t="shared" si="3"/>
        <v>-0.18837353759453559</v>
      </c>
      <c r="BC24" s="4">
        <f t="shared" si="3"/>
        <v>-2.224071485567445E-2</v>
      </c>
      <c r="BD24" s="4">
        <f t="shared" si="3"/>
        <v>-3.3783791097862937E-3</v>
      </c>
      <c r="BE24" s="4">
        <f t="shared" si="3"/>
        <v>-6.2602046960293176E-4</v>
      </c>
    </row>
    <row r="25" spans="1:57" ht="12" customHeight="1" x14ac:dyDescent="0.2">
      <c r="A25" s="8">
        <v>17</v>
      </c>
      <c r="C25" s="4">
        <f>C24*(1-'Input&amp;Output'!$D$6/100)</f>
        <v>1.6064623405789438</v>
      </c>
      <c r="D25" s="4">
        <f>C25*'Input&amp;Output'!$D$7/1000</f>
        <v>2.4096935108684154</v>
      </c>
      <c r="F25" s="4">
        <f>'Input&amp;Output'!$D$30*C25</f>
        <v>32.129246811578874</v>
      </c>
      <c r="G25" s="4">
        <f>'Input&amp;Output'!$D$30*D25</f>
        <v>48.193870217368307</v>
      </c>
      <c r="I25" s="4">
        <f t="shared" si="4"/>
        <v>80.323117028947181</v>
      </c>
      <c r="M25" s="4">
        <f>'Input&amp;Output'!$D$20*(1+('Input&amp;Output'!$G$20/100))^ROW(A17)</f>
        <v>1.4002414191924244</v>
      </c>
      <c r="N25" s="4">
        <f>'Input&amp;Output'!$D$21*(1+('Input&amp;Output'!$G$21/100))^ROW(A17)</f>
        <v>6.8760549534030995</v>
      </c>
      <c r="O25" s="4">
        <f>'Input&amp;Output'!$D$22*(1+('Input&amp;Output'!$G$22/100))^ROW(A17)</f>
        <v>13.463863928834069</v>
      </c>
      <c r="P25" s="4">
        <f>('Input&amp;Output'!$D$23*'Input&amp;Output'!$D$27*12/1000000)*(1+('Input&amp;Output'!$G$23/100))^ROW(A17)</f>
        <v>0.42634959529425687</v>
      </c>
      <c r="Q25" s="4">
        <f>('Input&amp;Output'!$D$24*'Input&amp;Output'!$D$27*365/1000000)*((1+('Input&amp;Output'!$G$24/100))^ROW(A17))</f>
        <v>11.069289924134546</v>
      </c>
      <c r="R25" s="4">
        <f>'Input&amp;Output'!$D$25*((1+('Input&amp;Output'!$G$25/100))^ROW(A17))</f>
        <v>6.3176304219299722</v>
      </c>
      <c r="S25" s="4">
        <f>'Input&amp;Output'!$D$10*'Input&amp;Output'!$D$26*(1+('Input&amp;Output'!$G$26/100))^ROW(A17)</f>
        <v>94.764456328949578</v>
      </c>
      <c r="U25" s="4">
        <f t="shared" si="5"/>
        <v>134.31788657173794</v>
      </c>
      <c r="W25" s="4">
        <f t="shared" si="6"/>
        <v>80.323117028947181</v>
      </c>
      <c r="AG25" s="4">
        <f>IF(A25&lt;='Input&amp;Output'!$D$38,$K$8/'Input&amp;Output'!$D$38,0)</f>
        <v>0</v>
      </c>
      <c r="AH25" s="4">
        <f t="shared" si="7"/>
        <v>134.31788657173794</v>
      </c>
      <c r="AK25" s="4">
        <f t="shared" si="8"/>
        <v>0</v>
      </c>
      <c r="AL25" s="4">
        <f>AK25*('Input&amp;Output'!$D$32/100)</f>
        <v>0</v>
      </c>
      <c r="AM25" s="8"/>
      <c r="AN25" s="5"/>
      <c r="AO25" s="4">
        <f t="shared" si="9"/>
        <v>80.323117028947181</v>
      </c>
      <c r="AQ25" s="4">
        <f t="shared" si="10"/>
        <v>134.31788657173794</v>
      </c>
      <c r="AR25" s="4">
        <f t="shared" si="11"/>
        <v>0</v>
      </c>
      <c r="AS25" s="4">
        <f t="shared" si="0"/>
        <v>-53.994769542790763</v>
      </c>
      <c r="AU25" s="4">
        <f>AS25/(1+'Input&amp;Output'!$D$33/100)^A25</f>
        <v>-10.682577302532534</v>
      </c>
      <c r="AW25" s="4">
        <f t="shared" si="12"/>
        <v>238.44889171453156</v>
      </c>
      <c r="AX25" s="4">
        <f t="shared" si="1"/>
        <v>0</v>
      </c>
      <c r="AZ25" s="4">
        <f t="shared" si="2"/>
        <v>-53.994769542790763</v>
      </c>
      <c r="BA25" s="4">
        <f t="shared" si="3"/>
        <v>-2.4337194282831929</v>
      </c>
      <c r="BB25" s="4">
        <f t="shared" si="3"/>
        <v>-0.17708227197078996</v>
      </c>
      <c r="BC25" s="4">
        <f t="shared" si="3"/>
        <v>-1.8294139512858684E-2</v>
      </c>
      <c r="BD25" s="4">
        <f t="shared" si="3"/>
        <v>-2.4701259894176707E-3</v>
      </c>
      <c r="BE25" s="4">
        <f t="shared" si="3"/>
        <v>-4.1194739946587191E-4</v>
      </c>
    </row>
    <row r="26" spans="1:57" ht="12" customHeight="1" x14ac:dyDescent="0.2">
      <c r="A26" s="8">
        <v>18</v>
      </c>
      <c r="C26" s="4">
        <f>C25*(1-'Input&amp;Output'!$D$6/100)</f>
        <v>1.5261392235499964</v>
      </c>
      <c r="D26" s="4">
        <f>C26*'Input&amp;Output'!$D$7/1000</f>
        <v>2.2892088353249949</v>
      </c>
      <c r="F26" s="4">
        <f>'Input&amp;Output'!$D$30*C26</f>
        <v>30.52278447099993</v>
      </c>
      <c r="G26" s="4">
        <f>'Input&amp;Output'!$D$30*D26</f>
        <v>45.784176706499899</v>
      </c>
      <c r="I26" s="4">
        <f t="shared" si="4"/>
        <v>76.306961177499829</v>
      </c>
      <c r="M26" s="4">
        <f>'Input&amp;Output'!$D$20*(1+('Input&amp;Output'!$G$20/100))^ROW(A18)</f>
        <v>1.4282462475762727</v>
      </c>
      <c r="N26" s="4">
        <f>'Input&amp;Output'!$D$21*(1+('Input&amp;Output'!$G$21/100))^ROW(A18)</f>
        <v>7.2198577010732539</v>
      </c>
      <c r="O26" s="4">
        <f>'Input&amp;Output'!$D$22*(1+('Input&amp;Output'!$G$22/100))^ROW(A18)</f>
        <v>14.271695764564114</v>
      </c>
      <c r="P26" s="4">
        <f>('Input&amp;Output'!$D$23*'Input&amp;Output'!$D$27*12/1000000)*(1+('Input&amp;Output'!$G$23/100))^ROW(A18)</f>
        <v>0.43061309124719949</v>
      </c>
      <c r="Q26" s="4">
        <f>('Input&amp;Output'!$D$24*'Input&amp;Output'!$D$27*365/1000000)*((1+('Input&amp;Output'!$G$24/100))^ROW(A18))</f>
        <v>12.176218916548001</v>
      </c>
      <c r="R26" s="4">
        <f>'Input&amp;Output'!$D$25*((1+('Input&amp;Output'!$G$25/100))^ROW(A18))</f>
        <v>6.7598645514650704</v>
      </c>
      <c r="S26" s="4">
        <f>'Input&amp;Output'!$D$10*'Input&amp;Output'!$D$26*(1+('Input&amp;Output'!$G$26/100))^ROW(A18)</f>
        <v>101.39796827197605</v>
      </c>
      <c r="U26" s="4">
        <f t="shared" si="5"/>
        <v>143.68446454444995</v>
      </c>
      <c r="W26" s="4">
        <f t="shared" si="6"/>
        <v>76.306961177499829</v>
      </c>
      <c r="AG26" s="4">
        <f>IF(A26&lt;='Input&amp;Output'!$D$38,$K$8/'Input&amp;Output'!$D$38,0)</f>
        <v>0</v>
      </c>
      <c r="AH26" s="4">
        <f t="shared" si="7"/>
        <v>143.68446454444995</v>
      </c>
      <c r="AK26" s="4">
        <f t="shared" si="8"/>
        <v>0</v>
      </c>
      <c r="AL26" s="4">
        <f>AK26*('Input&amp;Output'!$D$32/100)</f>
        <v>0</v>
      </c>
      <c r="AM26" s="8"/>
      <c r="AN26" s="5"/>
      <c r="AO26" s="4">
        <f t="shared" si="9"/>
        <v>76.306961177499829</v>
      </c>
      <c r="AQ26" s="4">
        <f t="shared" si="10"/>
        <v>143.68446454444995</v>
      </c>
      <c r="AR26" s="4">
        <f t="shared" si="11"/>
        <v>0</v>
      </c>
      <c r="AS26" s="4">
        <f t="shared" si="0"/>
        <v>-67.377503366950123</v>
      </c>
      <c r="AU26" s="4">
        <f>AS26/(1+'Input&amp;Output'!$D$33/100)^A26</f>
        <v>-12.118436222683618</v>
      </c>
      <c r="AW26" s="4">
        <f t="shared" si="12"/>
        <v>171.07138834758143</v>
      </c>
      <c r="AX26" s="4">
        <f t="shared" si="1"/>
        <v>0</v>
      </c>
      <c r="AZ26" s="4">
        <f t="shared" si="2"/>
        <v>-67.377503366950123</v>
      </c>
      <c r="BA26" s="4">
        <f t="shared" si="3"/>
        <v>-2.530768880669243</v>
      </c>
      <c r="BB26" s="4">
        <f t="shared" si="3"/>
        <v>-0.15783752861579747</v>
      </c>
      <c r="BC26" s="4">
        <f t="shared" si="3"/>
        <v>-1.4267741313886051E-2</v>
      </c>
      <c r="BD26" s="4">
        <f t="shared" si="3"/>
        <v>-1.7124181510548794E-3</v>
      </c>
      <c r="BE26" s="4">
        <f t="shared" si="3"/>
        <v>-2.5702477785854386E-4</v>
      </c>
    </row>
    <row r="27" spans="1:57" ht="12" customHeight="1" x14ac:dyDescent="0.2">
      <c r="A27" s="8">
        <v>19</v>
      </c>
      <c r="C27" s="4">
        <f>C26*(1-'Input&amp;Output'!$D$6/100)</f>
        <v>1.4498322623724966</v>
      </c>
      <c r="D27" s="4">
        <f>C27*'Input&amp;Output'!$D$7/1000</f>
        <v>2.1747483935587448</v>
      </c>
      <c r="F27" s="4">
        <f>'Input&amp;Output'!$D$30*C27</f>
        <v>28.996645247449933</v>
      </c>
      <c r="G27" s="4">
        <f>'Input&amp;Output'!$D$30*D27</f>
        <v>43.494967871174893</v>
      </c>
      <c r="I27" s="4">
        <f t="shared" si="4"/>
        <v>72.491613118624826</v>
      </c>
      <c r="M27" s="4">
        <f>'Input&amp;Output'!$D$20*(1+('Input&amp;Output'!$G$20/100))^ROW(A19)</f>
        <v>1.4568111725277981</v>
      </c>
      <c r="N27" s="4">
        <f>'Input&amp;Output'!$D$21*(1+('Input&amp;Output'!$G$21/100))^ROW(A19)</f>
        <v>7.5808505861269175</v>
      </c>
      <c r="O27" s="4">
        <f>'Input&amp;Output'!$D$22*(1+('Input&amp;Output'!$G$22/100))^ROW(A19)</f>
        <v>15.127997510437963</v>
      </c>
      <c r="P27" s="4">
        <f>('Input&amp;Output'!$D$23*'Input&amp;Output'!$D$27*12/1000000)*(1+('Input&amp;Output'!$G$23/100))^ROW(A19)</f>
        <v>0.43491922215967138</v>
      </c>
      <c r="Q27" s="4">
        <f>('Input&amp;Output'!$D$24*'Input&amp;Output'!$D$27*365/1000000)*((1+('Input&amp;Output'!$G$24/100))^ROW(A19))</f>
        <v>13.393840808202803</v>
      </c>
      <c r="R27" s="4">
        <f>'Input&amp;Output'!$D$25*((1+('Input&amp;Output'!$G$25/100))^ROW(A19))</f>
        <v>7.2330550700676257</v>
      </c>
      <c r="S27" s="4">
        <f>'Input&amp;Output'!$D$10*'Input&amp;Output'!$D$26*(1+('Input&amp;Output'!$G$26/100))^ROW(A19)</f>
        <v>108.49582605101439</v>
      </c>
      <c r="U27" s="4">
        <f t="shared" si="5"/>
        <v>153.72330042053716</v>
      </c>
      <c r="W27" s="4">
        <f t="shared" si="6"/>
        <v>72.491613118624826</v>
      </c>
      <c r="AG27" s="4">
        <f>IF(A27&lt;='Input&amp;Output'!$D$38,$K$8/'Input&amp;Output'!$D$38,0)</f>
        <v>0</v>
      </c>
      <c r="AH27" s="4">
        <f t="shared" si="7"/>
        <v>153.72330042053716</v>
      </c>
      <c r="AK27" s="4">
        <f t="shared" si="8"/>
        <v>0</v>
      </c>
      <c r="AL27" s="4">
        <f>AK27*('Input&amp;Output'!$D$32/100)</f>
        <v>0</v>
      </c>
      <c r="AM27" s="8"/>
      <c r="AN27" s="5"/>
      <c r="AO27" s="4">
        <f t="shared" si="9"/>
        <v>72.491613118624826</v>
      </c>
      <c r="AQ27" s="4">
        <f t="shared" si="10"/>
        <v>153.72330042053716</v>
      </c>
      <c r="AR27" s="4">
        <f t="shared" si="11"/>
        <v>0</v>
      </c>
      <c r="AS27" s="4">
        <f t="shared" si="0"/>
        <v>-81.231687301912331</v>
      </c>
      <c r="AU27" s="4">
        <f>AS27/(1+'Input&amp;Output'!$D$33/100)^A27</f>
        <v>-13.282029982186895</v>
      </c>
      <c r="AW27" s="4">
        <f t="shared" si="12"/>
        <v>89.839701045669102</v>
      </c>
      <c r="AX27" s="4">
        <f t="shared" si="1"/>
        <v>0</v>
      </c>
      <c r="AZ27" s="4">
        <f t="shared" si="2"/>
        <v>-81.231687301912331</v>
      </c>
      <c r="BA27" s="4">
        <f t="shared" si="3"/>
        <v>-2.542621993925728</v>
      </c>
      <c r="BB27" s="4">
        <f t="shared" si="3"/>
        <v>-0.13592295147618144</v>
      </c>
      <c r="BC27" s="4">
        <f t="shared" si="3"/>
        <v>-1.0750924297777874E-2</v>
      </c>
      <c r="BD27" s="4">
        <f t="shared" si="3"/>
        <v>-1.1469589569997594E-3</v>
      </c>
      <c r="BE27" s="4">
        <f t="shared" si="3"/>
        <v>-1.54937147716355E-4</v>
      </c>
    </row>
    <row r="28" spans="1:57" ht="12" customHeight="1" x14ac:dyDescent="0.2">
      <c r="A28" s="18">
        <v>20</v>
      </c>
      <c r="C28" s="11">
        <f>C27*(1-'Input&amp;Output'!$D$6/100)</f>
        <v>1.3773406492538718</v>
      </c>
      <c r="D28" s="11">
        <f>C28*'Input&amp;Output'!$D$7/1000</f>
        <v>2.0660109738808079</v>
      </c>
      <c r="F28" s="4">
        <f>'Input&amp;Output'!$D$30*C28</f>
        <v>27.546812985077437</v>
      </c>
      <c r="G28" s="4">
        <f>'Input&amp;Output'!$D$30*D28</f>
        <v>41.320219477616156</v>
      </c>
      <c r="H28" s="11"/>
      <c r="I28" s="4">
        <f t="shared" si="4"/>
        <v>68.867032462693601</v>
      </c>
      <c r="M28" s="4">
        <f>'Input&amp;Output'!$D$20*(1+('Input&amp;Output'!$G$20/100))^ROW(A20)</f>
        <v>1.4859473959783542</v>
      </c>
      <c r="N28" s="4">
        <f>'Input&amp;Output'!$D$21*(1+('Input&amp;Output'!$G$21/100))^ROW(A20)</f>
        <v>7.9598931154332622</v>
      </c>
      <c r="O28" s="4">
        <f>'Input&amp;Output'!$D$22*(1+('Input&amp;Output'!$G$22/100))^ROW(A20)</f>
        <v>16.035677361064241</v>
      </c>
      <c r="P28" s="4">
        <f>('Input&amp;Output'!$D$23*'Input&amp;Output'!$D$27*12/1000000)*(1+('Input&amp;Output'!$G$23/100))^ROW(A20)</f>
        <v>0.43926841438126812</v>
      </c>
      <c r="Q28" s="4">
        <f>('Input&amp;Output'!$D$24*'Input&amp;Output'!$D$27*365/1000000)*((1+('Input&amp;Output'!$G$24/100))^ROW(A20))</f>
        <v>14.733224889023084</v>
      </c>
      <c r="R28" s="4">
        <f>'Input&amp;Output'!$D$25*((1+('Input&amp;Output'!$G$25/100))^ROW(A20))</f>
        <v>7.739368924972359</v>
      </c>
      <c r="S28" s="4">
        <f>'Input&amp;Output'!$D$10*'Input&amp;Output'!$D$26*(1+('Input&amp;Output'!$G$26/100))^ROW(A20)</f>
        <v>116.09053387458539</v>
      </c>
      <c r="T28" s="11"/>
      <c r="U28" s="4">
        <f t="shared" si="5"/>
        <v>164.48391397543796</v>
      </c>
      <c r="W28" s="4">
        <f t="shared" si="6"/>
        <v>68.867032462693601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4">
        <f t="shared" si="7"/>
        <v>164.48391397543796</v>
      </c>
      <c r="AI28" s="11"/>
      <c r="AJ28" s="11"/>
      <c r="AK28" s="4">
        <f t="shared" si="8"/>
        <v>0</v>
      </c>
      <c r="AL28" s="4">
        <f>AK28*('Input&amp;Output'!$D$32/100)</f>
        <v>0</v>
      </c>
      <c r="AM28" s="18"/>
      <c r="AN28" s="5"/>
      <c r="AO28" s="4">
        <f t="shared" si="9"/>
        <v>68.867032462693601</v>
      </c>
      <c r="AP28" s="11"/>
      <c r="AQ28" s="4">
        <f t="shared" si="10"/>
        <v>164.48391397543796</v>
      </c>
      <c r="AR28" s="4">
        <f t="shared" si="11"/>
        <v>0</v>
      </c>
      <c r="AS28" s="4">
        <f t="shared" si="0"/>
        <v>-95.616881512744357</v>
      </c>
      <c r="AU28" s="4">
        <f>AS28/(1+'Input&amp;Output'!$D$33/100)^A28</f>
        <v>-14.212840168408974</v>
      </c>
      <c r="AV28" s="14"/>
      <c r="AW28" s="4">
        <f t="shared" si="12"/>
        <v>-5.7771804670752545</v>
      </c>
      <c r="AX28" s="4">
        <f t="shared" si="1"/>
        <v>0</v>
      </c>
      <c r="AZ28" s="4">
        <f t="shared" si="2"/>
        <v>-95.616881512744357</v>
      </c>
      <c r="BA28" s="4">
        <f t="shared" si="3"/>
        <v>-2.4940758341969786</v>
      </c>
      <c r="BB28" s="4">
        <f t="shared" si="3"/>
        <v>-0.11428095521619874</v>
      </c>
      <c r="BC28" s="4">
        <f t="shared" si="3"/>
        <v>-7.9092430620121973E-3</v>
      </c>
      <c r="BD28" s="4">
        <f t="shared" si="3"/>
        <v>-7.500400831117885E-4</v>
      </c>
      <c r="BE28" s="4">
        <f t="shared" si="3"/>
        <v>-9.1187364113563878E-5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46.830527664176401</v>
      </c>
      <c r="D30" s="12">
        <f>SUM(D9:D29)</f>
        <v>70.245791496264602</v>
      </c>
      <c r="F30" s="12">
        <f>SUM(F9:F29)</f>
        <v>936.61055328352813</v>
      </c>
      <c r="G30" s="12">
        <f>SUM(G9:G29)</f>
        <v>1404.9158299252917</v>
      </c>
      <c r="I30" s="12">
        <f>SUM(I9:I29)</f>
        <v>2341.5263832088199</v>
      </c>
      <c r="M30" s="12">
        <f t="shared" ref="M30:W30" si="13">SUM(M9:M29)</f>
        <v>24.783317194896075</v>
      </c>
      <c r="N30" s="12">
        <f t="shared" si="13"/>
        <v>104.15775542409848</v>
      </c>
      <c r="O30" s="12">
        <f t="shared" si="13"/>
        <v>194.9636333788014</v>
      </c>
      <c r="P30" s="12">
        <f t="shared" si="13"/>
        <v>8.0061098525080752</v>
      </c>
      <c r="Q30" s="12">
        <f t="shared" si="13"/>
        <v>137.97547377925386</v>
      </c>
      <c r="R30" s="12">
        <f t="shared" si="13"/>
        <v>87.730353567434619</v>
      </c>
      <c r="S30" s="12">
        <f t="shared" si="13"/>
        <v>1315.9553035115193</v>
      </c>
      <c r="U30" s="12">
        <f t="shared" si="13"/>
        <v>1873.5719467085121</v>
      </c>
      <c r="W30" s="12">
        <f t="shared" si="13"/>
        <v>2341.5263832088199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636.82904241845847</v>
      </c>
      <c r="AL30" s="12">
        <f>SUM(AL9:AL29)</f>
        <v>254.73161696738339</v>
      </c>
      <c r="AM30" s="19" t="s">
        <v>82</v>
      </c>
      <c r="AO30" s="12">
        <f>SUM(AO8:AO29)</f>
        <v>2341.5263832088199</v>
      </c>
      <c r="AP30" s="12">
        <f>SUM(AP8:AP29)</f>
        <v>219</v>
      </c>
      <c r="AQ30" s="12">
        <f>SUM(AQ8:AQ29)</f>
        <v>1873.5719467085121</v>
      </c>
      <c r="AR30" s="12">
        <f>SUM(AR8:AR29)</f>
        <v>254.73161696738339</v>
      </c>
      <c r="AS30" s="12">
        <f>SUM(AS8:AS29)</f>
        <v>-5.7771804670752545</v>
      </c>
      <c r="AU30" s="15">
        <f>SUM(AU8:AU29)</f>
        <v>107.72689985749345</v>
      </c>
      <c r="AX30" s="16">
        <f>SUM(AX8:AX29)</f>
        <v>2.6018165801844098</v>
      </c>
      <c r="AZ30" s="12">
        <f t="shared" ref="AZ30:BE30" si="14">SUM(AZ8:AZ29)</f>
        <v>-5.7771804670752545</v>
      </c>
      <c r="BA30" s="12">
        <f t="shared" si="14"/>
        <v>54.430300021017615</v>
      </c>
      <c r="BB30" s="12">
        <f t="shared" si="14"/>
        <v>-38.701213709779843</v>
      </c>
      <c r="BC30" s="12">
        <f t="shared" si="14"/>
        <v>-88.514818175403761</v>
      </c>
      <c r="BD30" s="12">
        <f t="shared" si="14"/>
        <v>-117.34972637957887</v>
      </c>
      <c r="BE30" s="12">
        <f t="shared" si="14"/>
        <v>-135.8779525549364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107.72689985749345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0.30189958055133115</v>
      </c>
    </row>
    <row r="34" spans="45:48" ht="12" customHeight="1" thickBot="1" x14ac:dyDescent="0.25">
      <c r="AS34" s="75" t="s">
        <v>136</v>
      </c>
      <c r="AT34" s="76"/>
      <c r="AU34" s="77">
        <f>AX30</f>
        <v>2.6018165801844098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0.49190365231732169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E44E-17C3-4D16-A6B0-DB0C85B076C5}">
  <dimension ref="A1:BM35"/>
  <sheetViews>
    <sheetView topLeftCell="U2" workbookViewId="0">
      <selection activeCell="BE8" sqref="BE8:BE28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>
        <f>'Input&amp;Output'!D20</f>
        <v>1</v>
      </c>
      <c r="N8" s="4">
        <f>'Input&amp;Output'!D21</f>
        <v>3</v>
      </c>
      <c r="O8" s="4">
        <f>'Input&amp;Output'!D22</f>
        <v>5</v>
      </c>
      <c r="P8" s="4">
        <f>'Input&amp;Output'!D23</f>
        <v>1000</v>
      </c>
      <c r="Q8" s="4">
        <f>'Input&amp;Output'!D24</f>
        <v>200</v>
      </c>
      <c r="R8" s="4">
        <f>'Input&amp;Output'!D25</f>
        <v>2</v>
      </c>
      <c r="S8" s="4" cm="1">
        <f t="array" ref="S8:S28">'Cash Flow'!S8:S28</f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'Input&amp;Output'!$D$5*365*(1+'Input&amp;Output'!E53/100)/1000</f>
        <v>8.0300000000000011</v>
      </c>
      <c r="D9" s="4">
        <f>C9*'Input&amp;Output'!$D$7/1000</f>
        <v>12.045000000000002</v>
      </c>
      <c r="F9" s="4">
        <f>'Input&amp;Output'!$D$30*C9</f>
        <v>160.60000000000002</v>
      </c>
      <c r="G9" s="4">
        <f>'Input&amp;Output'!$D$30*D9</f>
        <v>240.90000000000003</v>
      </c>
      <c r="I9" s="4">
        <f>F9+G9</f>
        <v>401.50000000000006</v>
      </c>
      <c r="M9" s="4">
        <f>'Input&amp;Output'!$D$20*(1+('Input&amp;Output'!$G$20/100))^ROW(A1)</f>
        <v>1.02</v>
      </c>
      <c r="N9" s="4">
        <f>'Input&amp;Output'!$D$21*(1+('Input&amp;Output'!$G$21/100))^ROW(A1)</f>
        <v>3.1500000000000004</v>
      </c>
      <c r="O9" s="4">
        <f>'Input&amp;Output'!$D$22*(1+('Input&amp;Output'!$G$22/100))^ROW(A1)</f>
        <v>5.3000000000000007</v>
      </c>
      <c r="P9" s="4">
        <f>('Input&amp;Output'!$D$23*'Input&amp;Output'!$D$27*12/1000000)*(1+('Input&amp;Output'!$G$23/100))^ROW(A1)</f>
        <v>0.36359999999999998</v>
      </c>
      <c r="Q9" s="4">
        <f>('Input&amp;Output'!$D$24*'Input&amp;Output'!$D$27*365/1000000)*((1+('Input&amp;Output'!$G$24/100))^ROW(A1))</f>
        <v>2.4090000000000003</v>
      </c>
      <c r="R9" s="4">
        <f>'Input&amp;Output'!$D$25*((1+('Input&amp;Output'!$G$25/100))^ROW(A1))</f>
        <v>2.14</v>
      </c>
      <c r="S9" s="4">
        <v>32.1</v>
      </c>
      <c r="U9" s="4" cm="1">
        <f t="array" ref="U9:U28">'Cash Flow'!U9:U28</f>
        <v>46.482600000000005</v>
      </c>
      <c r="W9" s="4" cm="1">
        <f t="array" ref="W9:W28">'Prod.=0.5'!W9:W28</f>
        <v>182.5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114.1174</v>
      </c>
      <c r="AL9" s="4">
        <f>AK9*('Input&amp;Output'!$D$32/100)</f>
        <v>45.646960000000007</v>
      </c>
      <c r="AM9" s="8"/>
      <c r="AN9" s="5"/>
      <c r="AO9" s="4" cm="1">
        <f t="array" ref="AO9:AO28">W9:W28</f>
        <v>182.5</v>
      </c>
      <c r="AQ9" s="4" cm="1">
        <f t="array" ref="AQ9:AQ28">U9:U28</f>
        <v>46.482600000000005</v>
      </c>
      <c r="AR9" s="4" cm="1">
        <f t="array" ref="AR9:AR28">AL9:AL28</f>
        <v>45.646960000000007</v>
      </c>
      <c r="AS9" s="4">
        <f t="shared" ref="AS9:AS28" si="0">AO9-AP9-AQ9-AR9</f>
        <v>90.370440000000002</v>
      </c>
      <c r="AU9" s="4">
        <f>AS9/(1+'Input&amp;Output'!$D$33/100)^A9</f>
        <v>82.154945454545455</v>
      </c>
      <c r="AW9" s="4">
        <f>AW8+AS9</f>
        <v>-128.62956</v>
      </c>
      <c r="AX9" s="4">
        <f t="shared" ref="AX9:AX28" si="1">IF(AND(AW9&gt;0,AW8&lt;0),A8+ABS(AW8/AS9),0)</f>
        <v>0</v>
      </c>
      <c r="AZ9" s="4">
        <f t="shared" ref="AZ9:BE28" si="2">$AS9/(1+AZ$5)^$A9</f>
        <v>90.370440000000002</v>
      </c>
      <c r="BA9" s="4">
        <f t="shared" si="2"/>
        <v>75.308700000000002</v>
      </c>
      <c r="BB9" s="4">
        <f t="shared" si="2"/>
        <v>64.550314285714293</v>
      </c>
      <c r="BC9" s="4">
        <f t="shared" si="2"/>
        <v>56.481524999999998</v>
      </c>
      <c r="BD9" s="4">
        <f t="shared" si="2"/>
        <v>50.205799999999996</v>
      </c>
      <c r="BE9" s="4">
        <f t="shared" si="2"/>
        <v>45.185220000000001</v>
      </c>
    </row>
    <row r="10" spans="1:65" ht="12" customHeight="1" x14ac:dyDescent="0.2">
      <c r="A10" s="8">
        <v>2</v>
      </c>
      <c r="C10" s="4">
        <f>C9*(1-'Input&amp;Output'!$D$6/100)</f>
        <v>7.6285000000000007</v>
      </c>
      <c r="D10" s="4">
        <f>C10*'Input&amp;Output'!$D$7/1000</f>
        <v>11.442750000000002</v>
      </c>
      <c r="F10" s="4">
        <f>'Input&amp;Output'!$D$30*C10</f>
        <v>152.57000000000002</v>
      </c>
      <c r="G10" s="4">
        <f>'Input&amp;Output'!$D$30*D10</f>
        <v>228.85500000000005</v>
      </c>
      <c r="I10" s="4">
        <f t="shared" ref="I10:I28" si="3">F10+G10</f>
        <v>381.42500000000007</v>
      </c>
      <c r="M10" s="4">
        <f>'Input&amp;Output'!$D$20*(1+('Input&amp;Output'!$G$20/100))^ROW(A2)</f>
        <v>1.0404</v>
      </c>
      <c r="N10" s="4">
        <f>'Input&amp;Output'!$D$21*(1+('Input&amp;Output'!$G$21/100))^ROW(A2)</f>
        <v>3.3075000000000001</v>
      </c>
      <c r="O10" s="4">
        <f>'Input&amp;Output'!$D$22*(1+('Input&amp;Output'!$G$22/100))^ROW(A2)</f>
        <v>5.6180000000000003</v>
      </c>
      <c r="P10" s="4">
        <f>('Input&amp;Output'!$D$23*'Input&amp;Output'!$D$27*12/1000000)*(1+('Input&amp;Output'!$G$23/100))^ROW(A2)</f>
        <v>0.36723600000000001</v>
      </c>
      <c r="Q10" s="4">
        <f>('Input&amp;Output'!$D$24*'Input&amp;Output'!$D$27*365/1000000)*((1+('Input&amp;Output'!$G$24/100))^ROW(A2))</f>
        <v>2.6499000000000001</v>
      </c>
      <c r="R10" s="4">
        <f>'Input&amp;Output'!$D$25*((1+('Input&amp;Output'!$G$25/100))^ROW(A2))</f>
        <v>2.2898000000000001</v>
      </c>
      <c r="S10" s="4">
        <v>34.347000000000001</v>
      </c>
      <c r="U10" s="4">
        <v>49.619836000000006</v>
      </c>
      <c r="W10" s="4">
        <v>173.375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4">MAX(0,W10-AH10-AG10)</f>
        <v>101.855164</v>
      </c>
      <c r="AL10" s="4">
        <f>AK10*('Input&amp;Output'!$D$32/100)</f>
        <v>40.742065600000004</v>
      </c>
      <c r="AM10" s="8"/>
      <c r="AN10" s="5"/>
      <c r="AO10" s="4">
        <v>173.375</v>
      </c>
      <c r="AQ10" s="4">
        <v>49.619836000000006</v>
      </c>
      <c r="AR10" s="4">
        <v>40.742065600000004</v>
      </c>
      <c r="AS10" s="4">
        <f t="shared" si="0"/>
        <v>83.01309839999999</v>
      </c>
      <c r="AU10" s="4">
        <f>AS10/(1+'Input&amp;Output'!$D$33/100)^A10</f>
        <v>68.60586644628097</v>
      </c>
      <c r="AW10" s="4">
        <f t="shared" ref="AW10:AW28" si="5">AW9+AS10</f>
        <v>-45.616461600000008</v>
      </c>
      <c r="AX10" s="4">
        <f t="shared" si="1"/>
        <v>0</v>
      </c>
      <c r="AZ10" s="4">
        <f t="shared" si="2"/>
        <v>83.01309839999999</v>
      </c>
      <c r="BA10" s="4">
        <f t="shared" si="2"/>
        <v>57.647984999999998</v>
      </c>
      <c r="BB10" s="4">
        <f t="shared" si="2"/>
        <v>42.353621632653059</v>
      </c>
      <c r="BC10" s="4">
        <f t="shared" si="2"/>
        <v>32.426991562499992</v>
      </c>
      <c r="BD10" s="4">
        <f t="shared" si="2"/>
        <v>25.621326666666661</v>
      </c>
      <c r="BE10" s="4">
        <f t="shared" si="2"/>
        <v>20.753274599999997</v>
      </c>
    </row>
    <row r="11" spans="1:65" ht="12" customHeight="1" x14ac:dyDescent="0.2">
      <c r="A11" s="8">
        <v>3</v>
      </c>
      <c r="C11" s="4">
        <f>C10*(1-'Input&amp;Output'!$D$6/100)</f>
        <v>7.2470750000000006</v>
      </c>
      <c r="D11" s="4">
        <f>C11*'Input&amp;Output'!$D$7/1000</f>
        <v>10.870612500000002</v>
      </c>
      <c r="F11" s="4">
        <f>'Input&amp;Output'!$D$30*C11</f>
        <v>144.94150000000002</v>
      </c>
      <c r="G11" s="4">
        <f>'Input&amp;Output'!$D$30*D11</f>
        <v>217.41225000000003</v>
      </c>
      <c r="I11" s="4">
        <f t="shared" si="3"/>
        <v>362.35375000000005</v>
      </c>
      <c r="M11" s="4">
        <f>'Input&amp;Output'!$D$20*(1+('Input&amp;Output'!$G$20/100))^ROW(A3)</f>
        <v>1.0612079999999999</v>
      </c>
      <c r="N11" s="4">
        <f>'Input&amp;Output'!$D$21*(1+('Input&amp;Output'!$G$21/100))^ROW(A3)</f>
        <v>3.4728750000000002</v>
      </c>
      <c r="O11" s="4">
        <f>'Input&amp;Output'!$D$22*(1+('Input&amp;Output'!$G$22/100))^ROW(A3)</f>
        <v>5.9550800000000015</v>
      </c>
      <c r="P11" s="4">
        <f>('Input&amp;Output'!$D$23*'Input&amp;Output'!$D$27*12/1000000)*(1+('Input&amp;Output'!$G$23/100))^ROW(A3)</f>
        <v>0.37090835999999994</v>
      </c>
      <c r="Q11" s="4">
        <f>('Input&amp;Output'!$D$24*'Input&amp;Output'!$D$27*365/1000000)*((1+('Input&amp;Output'!$G$24/100))^ROW(A3))</f>
        <v>2.9148900000000006</v>
      </c>
      <c r="R11" s="4">
        <f>'Input&amp;Output'!$D$25*((1+('Input&amp;Output'!$G$25/100))^ROW(A3))</f>
        <v>2.4500860000000002</v>
      </c>
      <c r="S11" s="4">
        <v>36.751290000000004</v>
      </c>
      <c r="U11" s="4">
        <v>52.976337360000002</v>
      </c>
      <c r="W11" s="4">
        <v>164.70624999999998</v>
      </c>
      <c r="AG11" s="4">
        <f>IF(A11&lt;='Input&amp;Output'!$D$38,$K$8/'Input&amp;Output'!$D$38,0)</f>
        <v>21.9</v>
      </c>
      <c r="AH11" s="4">
        <v>52.976337360000002</v>
      </c>
      <c r="AK11" s="4">
        <f t="shared" si="4"/>
        <v>89.829912639999975</v>
      </c>
      <c r="AL11" s="4">
        <f>AK11*('Input&amp;Output'!$D$32/100)</f>
        <v>35.931965055999989</v>
      </c>
      <c r="AM11" s="8"/>
      <c r="AN11" s="5"/>
      <c r="AO11" s="4">
        <v>164.70624999999998</v>
      </c>
      <c r="AQ11" s="4">
        <v>52.976337360000002</v>
      </c>
      <c r="AR11" s="4">
        <v>35.931965055999989</v>
      </c>
      <c r="AS11" s="4">
        <f t="shared" si="0"/>
        <v>75.797947583999985</v>
      </c>
      <c r="AU11" s="4">
        <f>AS11/(1+'Input&amp;Output'!$D$33/100)^A11</f>
        <v>56.948119897821158</v>
      </c>
      <c r="AW11" s="4">
        <f t="shared" si="5"/>
        <v>30.181485983999977</v>
      </c>
      <c r="AX11" s="4">
        <f t="shared" si="1"/>
        <v>2.6018165801844098</v>
      </c>
      <c r="AZ11" s="4">
        <f t="shared" si="2"/>
        <v>75.797947583999985</v>
      </c>
      <c r="BA11" s="4">
        <f t="shared" si="2"/>
        <v>43.864552999999994</v>
      </c>
      <c r="BB11" s="4">
        <f t="shared" si="2"/>
        <v>27.623158740524783</v>
      </c>
      <c r="BC11" s="4">
        <f t="shared" si="2"/>
        <v>18.505358296874991</v>
      </c>
      <c r="BD11" s="4">
        <f t="shared" si="2"/>
        <v>12.996904592592589</v>
      </c>
      <c r="BE11" s="4">
        <f t="shared" si="2"/>
        <v>9.4747434479999981</v>
      </c>
    </row>
    <row r="12" spans="1:65" ht="12" customHeight="1" x14ac:dyDescent="0.2">
      <c r="A12" s="8">
        <v>4</v>
      </c>
      <c r="C12" s="4">
        <f>C11*(1-'Input&amp;Output'!$D$6/100)</f>
        <v>6.8847212500000001</v>
      </c>
      <c r="D12" s="4">
        <f>C12*'Input&amp;Output'!$D$7/1000</f>
        <v>10.327081874999999</v>
      </c>
      <c r="F12" s="4">
        <f>'Input&amp;Output'!$D$30*C12</f>
        <v>137.694425</v>
      </c>
      <c r="G12" s="4">
        <f>'Input&amp;Output'!$D$30*D12</f>
        <v>206.54163749999998</v>
      </c>
      <c r="I12" s="4">
        <f t="shared" si="3"/>
        <v>344.2360625</v>
      </c>
      <c r="M12" s="4">
        <f>'Input&amp;Output'!$D$20*(1+('Input&amp;Output'!$G$20/100))^ROW(A4)</f>
        <v>1.08243216</v>
      </c>
      <c r="N12" s="4">
        <f>'Input&amp;Output'!$D$21*(1+('Input&amp;Output'!$G$21/100))^ROW(A4)</f>
        <v>3.6465187500000003</v>
      </c>
      <c r="O12" s="4">
        <f>'Input&amp;Output'!$D$22*(1+('Input&amp;Output'!$G$22/100))^ROW(A4)</f>
        <v>6.312384800000002</v>
      </c>
      <c r="P12" s="4">
        <f>('Input&amp;Output'!$D$23*'Input&amp;Output'!$D$27*12/1000000)*(1+('Input&amp;Output'!$G$23/100))^ROW(A4)</f>
        <v>0.37461744359999999</v>
      </c>
      <c r="Q12" s="4">
        <f>('Input&amp;Output'!$D$24*'Input&amp;Output'!$D$27*365/1000000)*((1+('Input&amp;Output'!$G$24/100))^ROW(A4))</f>
        <v>3.206379000000001</v>
      </c>
      <c r="R12" s="4">
        <f>'Input&amp;Output'!$D$25*((1+('Input&amp;Output'!$G$25/100))^ROW(A4))</f>
        <v>2.62159202</v>
      </c>
      <c r="S12" s="4">
        <v>39.323880299999999</v>
      </c>
      <c r="U12" s="4">
        <v>56.567804473600006</v>
      </c>
      <c r="W12" s="4">
        <v>156.47093749999996</v>
      </c>
      <c r="AG12" s="4">
        <f>IF(A12&lt;='Input&amp;Output'!$D$38,$K$8/'Input&amp;Output'!$D$38,0)</f>
        <v>21.9</v>
      </c>
      <c r="AH12" s="4">
        <v>56.567804473600006</v>
      </c>
      <c r="AK12" s="4">
        <f t="shared" si="4"/>
        <v>78.003133026399951</v>
      </c>
      <c r="AL12" s="4">
        <f>AK12*('Input&amp;Output'!$D$32/100)</f>
        <v>31.201253210559983</v>
      </c>
      <c r="AM12" s="8"/>
      <c r="AN12" s="5"/>
      <c r="AO12" s="4">
        <v>156.47093749999996</v>
      </c>
      <c r="AQ12" s="4">
        <v>56.567804473600006</v>
      </c>
      <c r="AR12" s="4">
        <v>31.201253210559983</v>
      </c>
      <c r="AS12" s="4">
        <f t="shared" si="0"/>
        <v>68.701879815839973</v>
      </c>
      <c r="AU12" s="4">
        <f>AS12/(1+'Input&amp;Output'!$D$33/100)^A12</f>
        <v>46.924308323092653</v>
      </c>
      <c r="AW12" s="4">
        <f t="shared" si="5"/>
        <v>98.88336579983995</v>
      </c>
      <c r="AX12" s="4">
        <f t="shared" si="1"/>
        <v>0</v>
      </c>
      <c r="AZ12" s="4">
        <f t="shared" si="2"/>
        <v>68.701879815839973</v>
      </c>
      <c r="BA12" s="4">
        <f t="shared" si="2"/>
        <v>33.131693584027765</v>
      </c>
      <c r="BB12" s="4">
        <f t="shared" si="2"/>
        <v>17.883663009121197</v>
      </c>
      <c r="BC12" s="4">
        <f t="shared" si="2"/>
        <v>10.48307492307128</v>
      </c>
      <c r="BD12" s="4">
        <f t="shared" si="2"/>
        <v>6.5445320659807917</v>
      </c>
      <c r="BE12" s="4">
        <f t="shared" si="2"/>
        <v>4.2938674884899983</v>
      </c>
    </row>
    <row r="13" spans="1:65" ht="12" customHeight="1" x14ac:dyDescent="0.2">
      <c r="A13" s="8">
        <v>5</v>
      </c>
      <c r="C13" s="4">
        <f>C12*(1-'Input&amp;Output'!$D$6/100)</f>
        <v>6.5404851874999999</v>
      </c>
      <c r="D13" s="4">
        <f>C13*'Input&amp;Output'!$D$7/1000</f>
        <v>9.8107277812499998</v>
      </c>
      <c r="F13" s="4">
        <f>'Input&amp;Output'!$D$30*C13</f>
        <v>130.80970374999998</v>
      </c>
      <c r="G13" s="4">
        <f>'Input&amp;Output'!$D$30*D13</f>
        <v>196.214555625</v>
      </c>
      <c r="I13" s="4">
        <f t="shared" si="3"/>
        <v>327.02425937499999</v>
      </c>
      <c r="M13" s="4">
        <f>'Input&amp;Output'!$D$20*(1+('Input&amp;Output'!$G$20/100))^ROW(A5)</f>
        <v>1.1040808032</v>
      </c>
      <c r="N13" s="4">
        <f>'Input&amp;Output'!$D$21*(1+('Input&amp;Output'!$G$21/100))^ROW(A5)</f>
        <v>3.8288446875000002</v>
      </c>
      <c r="O13" s="4">
        <f>'Input&amp;Output'!$D$22*(1+('Input&amp;Output'!$G$22/100))^ROW(A5)</f>
        <v>6.6911278880000022</v>
      </c>
      <c r="P13" s="4">
        <f>('Input&amp;Output'!$D$23*'Input&amp;Output'!$D$27*12/1000000)*(1+('Input&amp;Output'!$G$23/100))^ROW(A5)</f>
        <v>0.37836361803599994</v>
      </c>
      <c r="Q13" s="4">
        <f>('Input&amp;Output'!$D$24*'Input&amp;Output'!$D$27*365/1000000)*((1+('Input&amp;Output'!$G$24/100))^ROW(A5))</f>
        <v>3.5270169000000013</v>
      </c>
      <c r="R13" s="4">
        <f>'Input&amp;Output'!$D$25*((1+('Input&amp;Output'!$G$25/100))^ROW(A5))</f>
        <v>2.8051034614000003</v>
      </c>
      <c r="S13" s="4">
        <v>42.076551921000004</v>
      </c>
      <c r="U13" s="4">
        <v>60.411089279136007</v>
      </c>
      <c r="W13" s="4">
        <v>148.64739062499999</v>
      </c>
      <c r="AG13" s="4">
        <f>IF(A13&lt;='Input&amp;Output'!$D$38,$K$8/'Input&amp;Output'!$D$38,0)</f>
        <v>21.9</v>
      </c>
      <c r="AH13" s="4">
        <v>60.411089279136007</v>
      </c>
      <c r="AK13" s="4">
        <f t="shared" si="4"/>
        <v>66.336301345863973</v>
      </c>
      <c r="AL13" s="4">
        <f>AK13*('Input&amp;Output'!$D$32/100)</f>
        <v>26.534520538345589</v>
      </c>
      <c r="AM13" s="8"/>
      <c r="AN13" s="5"/>
      <c r="AO13" s="4">
        <v>148.64739062499999</v>
      </c>
      <c r="AQ13" s="4">
        <v>60.411089279136007</v>
      </c>
      <c r="AR13" s="4">
        <v>26.534520538345589</v>
      </c>
      <c r="AS13" s="4">
        <f t="shared" si="0"/>
        <v>61.701780807518389</v>
      </c>
      <c r="AU13" s="4">
        <f>AS13/(1+'Input&amp;Output'!$D$33/100)^A13</f>
        <v>38.311951374110294</v>
      </c>
      <c r="AW13" s="4">
        <f t="shared" si="5"/>
        <v>160.58514660735835</v>
      </c>
      <c r="AX13" s="4">
        <f t="shared" si="1"/>
        <v>0</v>
      </c>
      <c r="AZ13" s="4">
        <f t="shared" si="2"/>
        <v>61.701780807518389</v>
      </c>
      <c r="BA13" s="4">
        <f t="shared" si="2"/>
        <v>24.796561860017359</v>
      </c>
      <c r="BB13" s="4">
        <f t="shared" si="2"/>
        <v>11.472485572886002</v>
      </c>
      <c r="BC13" s="4">
        <f t="shared" si="2"/>
        <v>5.8843403632658342</v>
      </c>
      <c r="BD13" s="4">
        <f t="shared" si="2"/>
        <v>3.2653908622245069</v>
      </c>
      <c r="BE13" s="4">
        <f t="shared" si="2"/>
        <v>1.9281806502349497</v>
      </c>
    </row>
    <row r="14" spans="1:65" ht="12" customHeight="1" x14ac:dyDescent="0.2">
      <c r="A14" s="8">
        <v>6</v>
      </c>
      <c r="C14" s="4">
        <f>C13*(1-'Input&amp;Output'!$D$6/100)</f>
        <v>6.2134609281249995</v>
      </c>
      <c r="D14" s="4">
        <f>C14*'Input&amp;Output'!$D$7/1000</f>
        <v>9.3201913921874979</v>
      </c>
      <c r="F14" s="4">
        <f>'Input&amp;Output'!$D$30*C14</f>
        <v>124.26921856249999</v>
      </c>
      <c r="G14" s="4">
        <f>'Input&amp;Output'!$D$30*D14</f>
        <v>186.40382784374995</v>
      </c>
      <c r="I14" s="4">
        <f t="shared" si="3"/>
        <v>310.67304640624991</v>
      </c>
      <c r="M14" s="4">
        <f>'Input&amp;Output'!$D$20*(1+('Input&amp;Output'!$G$20/100))^ROW(A6)</f>
        <v>1.1261624192640001</v>
      </c>
      <c r="N14" s="4">
        <f>'Input&amp;Output'!$D$21*(1+('Input&amp;Output'!$G$21/100))^ROW(A6)</f>
        <v>4.0202869218749999</v>
      </c>
      <c r="O14" s="4">
        <f>'Input&amp;Output'!$D$22*(1+('Input&amp;Output'!$G$22/100))^ROW(A6)</f>
        <v>7.0925955612800031</v>
      </c>
      <c r="P14" s="4">
        <f>('Input&amp;Output'!$D$23*'Input&amp;Output'!$D$27*12/1000000)*(1+('Input&amp;Output'!$G$23/100))^ROW(A6)</f>
        <v>0.38214725421636003</v>
      </c>
      <c r="Q14" s="4">
        <f>('Input&amp;Output'!$D$24*'Input&amp;Output'!$D$27*365/1000000)*((1+('Input&amp;Output'!$G$24/100))^ROW(A6))</f>
        <v>3.8797185900000017</v>
      </c>
      <c r="R14" s="4">
        <f>'Input&amp;Output'!$D$25*((1+('Input&amp;Output'!$G$25/100))^ROW(A6))</f>
        <v>3.0014607036980001</v>
      </c>
      <c r="S14" s="4">
        <v>45.021910555470001</v>
      </c>
      <c r="U14" s="4">
        <v>64.524282005803371</v>
      </c>
      <c r="W14" s="4">
        <v>141.21502109374995</v>
      </c>
      <c r="AG14" s="4">
        <f>IF(A14&lt;='Input&amp;Output'!$D$38,$K$8/'Input&amp;Output'!$D$38,0)</f>
        <v>21.9</v>
      </c>
      <c r="AH14" s="4">
        <v>64.524282005803371</v>
      </c>
      <c r="AK14" s="4">
        <f t="shared" si="4"/>
        <v>54.790739087946584</v>
      </c>
      <c r="AL14" s="4">
        <f>AK14*('Input&amp;Output'!$D$32/100)</f>
        <v>21.916295635178635</v>
      </c>
      <c r="AM14" s="8"/>
      <c r="AN14" s="5"/>
      <c r="AO14" s="4">
        <v>141.21502109374995</v>
      </c>
      <c r="AQ14" s="4">
        <v>64.524282005803371</v>
      </c>
      <c r="AR14" s="4">
        <v>21.916295635178635</v>
      </c>
      <c r="AS14" s="4">
        <f t="shared" si="0"/>
        <v>54.774443452767947</v>
      </c>
      <c r="AU14" s="4">
        <f>AS14/(1+'Input&amp;Output'!$D$33/100)^A14</f>
        <v>30.918745362292306</v>
      </c>
      <c r="AW14" s="4">
        <f t="shared" si="5"/>
        <v>215.35959006012629</v>
      </c>
      <c r="AX14" s="4">
        <f t="shared" si="1"/>
        <v>0</v>
      </c>
      <c r="AZ14" s="4">
        <f t="shared" si="2"/>
        <v>54.774443452767947</v>
      </c>
      <c r="BA14" s="4">
        <f t="shared" si="2"/>
        <v>18.343850286126099</v>
      </c>
      <c r="BB14" s="4">
        <f t="shared" si="2"/>
        <v>7.2746107399935367</v>
      </c>
      <c r="BC14" s="4">
        <f t="shared" si="2"/>
        <v>3.2648112447719524</v>
      </c>
      <c r="BD14" s="4">
        <f t="shared" si="2"/>
        <v>1.610434044323827</v>
      </c>
      <c r="BE14" s="4">
        <f t="shared" si="2"/>
        <v>0.85585067894949918</v>
      </c>
    </row>
    <row r="15" spans="1:65" ht="12" customHeight="1" x14ac:dyDescent="0.2">
      <c r="A15" s="8">
        <v>7</v>
      </c>
      <c r="C15" s="4">
        <f>C14*(1-'Input&amp;Output'!$D$6/100)</f>
        <v>5.9027878817187496</v>
      </c>
      <c r="D15" s="4">
        <f>C15*'Input&amp;Output'!$D$7/1000</f>
        <v>8.8541818225781252</v>
      </c>
      <c r="F15" s="4">
        <f>'Input&amp;Output'!$D$30*C15</f>
        <v>118.055757634375</v>
      </c>
      <c r="G15" s="4">
        <f>'Input&amp;Output'!$D$30*D15</f>
        <v>177.08363645156251</v>
      </c>
      <c r="I15" s="4">
        <f t="shared" si="3"/>
        <v>295.13939408593751</v>
      </c>
      <c r="M15" s="4">
        <f>'Input&amp;Output'!$D$20*(1+('Input&amp;Output'!$G$20/100))^ROW(A7)</f>
        <v>1.1486856676492798</v>
      </c>
      <c r="N15" s="4">
        <f>'Input&amp;Output'!$D$21*(1+('Input&amp;Output'!$G$21/100))^ROW(A7)</f>
        <v>4.2213012679687507</v>
      </c>
      <c r="O15" s="4">
        <f>'Input&amp;Output'!$D$22*(1+('Input&amp;Output'!$G$22/100))^ROW(A7)</f>
        <v>7.5181512949568043</v>
      </c>
      <c r="P15" s="4">
        <f>('Input&amp;Output'!$D$23*'Input&amp;Output'!$D$27*12/1000000)*(1+('Input&amp;Output'!$G$23/100))^ROW(A7)</f>
        <v>0.38596872675852351</v>
      </c>
      <c r="Q15" s="4">
        <f>('Input&amp;Output'!$D$24*'Input&amp;Output'!$D$27*365/1000000)*((1+('Input&amp;Output'!$G$24/100))^ROW(A7))</f>
        <v>4.2676904490000025</v>
      </c>
      <c r="R15" s="4">
        <f>'Input&amp;Output'!$D$25*((1+('Input&amp;Output'!$G$25/100))^ROW(A7))</f>
        <v>3.2115629529568603</v>
      </c>
      <c r="S15" s="4">
        <v>48.173444294352905</v>
      </c>
      <c r="U15" s="4">
        <v>68.926804653643131</v>
      </c>
      <c r="W15" s="4">
        <v>134.15427003906245</v>
      </c>
      <c r="AG15" s="4">
        <f>IF(A15&lt;='Input&amp;Output'!$D$38,$K$8/'Input&amp;Output'!$D$38,0)</f>
        <v>21.9</v>
      </c>
      <c r="AH15" s="4">
        <v>68.926804653643131</v>
      </c>
      <c r="AK15" s="4">
        <f t="shared" si="4"/>
        <v>43.327465385419323</v>
      </c>
      <c r="AL15" s="4">
        <f>AK15*('Input&amp;Output'!$D$32/100)</f>
        <v>17.330986154167729</v>
      </c>
      <c r="AM15" s="8"/>
      <c r="AN15" s="5"/>
      <c r="AO15" s="4">
        <v>134.15427003906245</v>
      </c>
      <c r="AQ15" s="4">
        <v>68.926804653643131</v>
      </c>
      <c r="AR15" s="4">
        <v>17.330986154167729</v>
      </c>
      <c r="AS15" s="4">
        <f t="shared" si="0"/>
        <v>47.89647923125159</v>
      </c>
      <c r="AU15" s="4">
        <f>AS15/(1+'Input&amp;Output'!$D$33/100)^A15</f>
        <v>24.57846715218518</v>
      </c>
      <c r="AW15" s="4">
        <f t="shared" si="5"/>
        <v>263.25606929137791</v>
      </c>
      <c r="AX15" s="4">
        <f t="shared" si="1"/>
        <v>0</v>
      </c>
      <c r="AZ15" s="4">
        <f t="shared" si="2"/>
        <v>47.89647923125159</v>
      </c>
      <c r="BA15" s="4">
        <f t="shared" si="2"/>
        <v>13.367028320550164</v>
      </c>
      <c r="BB15" s="4">
        <f t="shared" si="2"/>
        <v>4.5436758492774914</v>
      </c>
      <c r="BC15" s="4">
        <f t="shared" si="2"/>
        <v>1.7842828941066398</v>
      </c>
      <c r="BD15" s="4">
        <f t="shared" si="2"/>
        <v>0.78234093508478297</v>
      </c>
      <c r="BE15" s="4">
        <f t="shared" si="2"/>
        <v>0.37419124399415304</v>
      </c>
    </row>
    <row r="16" spans="1:65" ht="12" customHeight="1" x14ac:dyDescent="0.2">
      <c r="A16" s="8">
        <v>8</v>
      </c>
      <c r="C16" s="4">
        <f>C15*(1-'Input&amp;Output'!$D$6/100)</f>
        <v>5.6076484876328117</v>
      </c>
      <c r="D16" s="4">
        <f>C16*'Input&amp;Output'!$D$7/1000</f>
        <v>8.4114727314492175</v>
      </c>
      <c r="F16" s="4">
        <f>'Input&amp;Output'!$D$30*C16</f>
        <v>112.15296975265623</v>
      </c>
      <c r="G16" s="4">
        <f>'Input&amp;Output'!$D$30*D16</f>
        <v>168.22945462898434</v>
      </c>
      <c r="I16" s="4">
        <f t="shared" si="3"/>
        <v>280.38242438164059</v>
      </c>
      <c r="M16" s="4">
        <f>'Input&amp;Output'!$D$20*(1+('Input&amp;Output'!$G$20/100))^ROW(A8)</f>
        <v>1.1716593810022655</v>
      </c>
      <c r="N16" s="4">
        <f>'Input&amp;Output'!$D$21*(1+('Input&amp;Output'!$G$21/100))^ROW(A8)</f>
        <v>4.4323663313671879</v>
      </c>
      <c r="O16" s="4">
        <f>'Input&amp;Output'!$D$22*(1+('Input&amp;Output'!$G$22/100))^ROW(A8)</f>
        <v>7.9692403726542116</v>
      </c>
      <c r="P16" s="4">
        <f>('Input&amp;Output'!$D$23*'Input&amp;Output'!$D$27*12/1000000)*(1+('Input&amp;Output'!$G$23/100))^ROW(A8)</f>
        <v>0.38982841402610885</v>
      </c>
      <c r="Q16" s="4">
        <f>('Input&amp;Output'!$D$24*'Input&amp;Output'!$D$27*365/1000000)*((1+('Input&amp;Output'!$G$24/100))^ROW(A8))</f>
        <v>4.6944594939000019</v>
      </c>
      <c r="R16" s="4">
        <f>'Input&amp;Output'!$D$25*((1+('Input&amp;Output'!$G$25/100))^ROW(A8))</f>
        <v>3.4363723596638405</v>
      </c>
      <c r="S16" s="4">
        <v>51.545585394957605</v>
      </c>
      <c r="U16" s="4">
        <v>73.63951174757122</v>
      </c>
      <c r="W16" s="4">
        <v>127.44655653710932</v>
      </c>
      <c r="AG16" s="4">
        <f>IF(A16&lt;='Input&amp;Output'!$D$38,$K$8/'Input&amp;Output'!$D$38,0)</f>
        <v>21.9</v>
      </c>
      <c r="AH16" s="4">
        <v>73.63951174757122</v>
      </c>
      <c r="AK16" s="4">
        <f t="shared" si="4"/>
        <v>31.907044789538098</v>
      </c>
      <c r="AL16" s="4">
        <f>AK16*('Input&amp;Output'!$D$32/100)</f>
        <v>12.762817915815241</v>
      </c>
      <c r="AM16" s="8"/>
      <c r="AN16" s="5"/>
      <c r="AO16" s="4">
        <v>127.44655653710932</v>
      </c>
      <c r="AQ16" s="4">
        <v>73.63951174757122</v>
      </c>
      <c r="AR16" s="4">
        <v>12.762817915815241</v>
      </c>
      <c r="AS16" s="4">
        <f t="shared" si="0"/>
        <v>41.044226873722856</v>
      </c>
      <c r="AU16" s="4">
        <f>AS16/(1+'Input&amp;Output'!$D$33/100)^A16</f>
        <v>19.147434751594375</v>
      </c>
      <c r="AW16" s="4">
        <f t="shared" si="5"/>
        <v>304.30029616510075</v>
      </c>
      <c r="AX16" s="4">
        <f t="shared" si="1"/>
        <v>0</v>
      </c>
      <c r="AZ16" s="4">
        <f t="shared" si="2"/>
        <v>41.044226873722856</v>
      </c>
      <c r="BA16" s="4">
        <f t="shared" si="2"/>
        <v>9.5455753711253006</v>
      </c>
      <c r="BB16" s="4">
        <f t="shared" si="2"/>
        <v>2.7811716523342263</v>
      </c>
      <c r="BC16" s="4">
        <f t="shared" si="2"/>
        <v>0.95563537612843374</v>
      </c>
      <c r="BD16" s="4">
        <f t="shared" si="2"/>
        <v>0.3724534819399597</v>
      </c>
      <c r="BE16" s="4">
        <f t="shared" si="2"/>
        <v>0.16032901122547991</v>
      </c>
    </row>
    <row r="17" spans="1:57" ht="12" customHeight="1" x14ac:dyDescent="0.2">
      <c r="A17" s="8">
        <v>9</v>
      </c>
      <c r="C17" s="4">
        <f>C16*(1-'Input&amp;Output'!$D$6/100)</f>
        <v>5.3272660632511712</v>
      </c>
      <c r="D17" s="4">
        <f>C17*'Input&amp;Output'!$D$7/1000</f>
        <v>7.9908990948767569</v>
      </c>
      <c r="F17" s="4">
        <f>'Input&amp;Output'!$D$30*C17</f>
        <v>106.54532126502343</v>
      </c>
      <c r="G17" s="4">
        <f>'Input&amp;Output'!$D$30*D17</f>
        <v>159.81798189753513</v>
      </c>
      <c r="I17" s="4">
        <f t="shared" si="3"/>
        <v>266.36330316255857</v>
      </c>
      <c r="M17" s="4">
        <f>'Input&amp;Output'!$D$20*(1+('Input&amp;Output'!$G$20/100))^ROW(A9)</f>
        <v>1.1950925686223108</v>
      </c>
      <c r="N17" s="4">
        <f>'Input&amp;Output'!$D$21*(1+('Input&amp;Output'!$G$21/100))^ROW(A9)</f>
        <v>4.6539846479355473</v>
      </c>
      <c r="O17" s="4">
        <f>'Input&amp;Output'!$D$22*(1+('Input&amp;Output'!$G$22/100))^ROW(A9)</f>
        <v>8.447394795013464</v>
      </c>
      <c r="P17" s="4">
        <f>('Input&amp;Output'!$D$23*'Input&amp;Output'!$D$27*12/1000000)*(1+('Input&amp;Output'!$G$23/100))^ROW(A9)</f>
        <v>0.39372669816636996</v>
      </c>
      <c r="Q17" s="4">
        <f>('Input&amp;Output'!$D$24*'Input&amp;Output'!$D$27*365/1000000)*((1+('Input&amp;Output'!$G$24/100))^ROW(A9))</f>
        <v>5.1639054432900027</v>
      </c>
      <c r="R17" s="4">
        <f>'Input&amp;Output'!$D$25*((1+('Input&amp;Output'!$G$25/100))^ROW(A9))</f>
        <v>3.6769184248403097</v>
      </c>
      <c r="S17" s="4">
        <v>55.153776372604646</v>
      </c>
      <c r="U17" s="4">
        <v>78.684798950472654</v>
      </c>
      <c r="W17" s="4">
        <v>121.07422871025386</v>
      </c>
      <c r="AG17" s="4">
        <f>IF(A17&lt;='Input&amp;Output'!$D$38,$K$8/'Input&amp;Output'!$D$38,0)</f>
        <v>21.9</v>
      </c>
      <c r="AH17" s="4">
        <v>78.684798950472654</v>
      </c>
      <c r="AK17" s="4">
        <f t="shared" si="4"/>
        <v>20.48942975978121</v>
      </c>
      <c r="AL17" s="4">
        <f>AK17*('Input&amp;Output'!$D$32/100)</f>
        <v>8.195771903912485</v>
      </c>
      <c r="AM17" s="8"/>
      <c r="AN17" s="5"/>
      <c r="AO17" s="4">
        <v>121.07422871025386</v>
      </c>
      <c r="AQ17" s="4">
        <v>78.684798950472654</v>
      </c>
      <c r="AR17" s="4">
        <v>8.195771903912485</v>
      </c>
      <c r="AS17" s="4">
        <f t="shared" si="0"/>
        <v>34.193657855868722</v>
      </c>
      <c r="AU17" s="4">
        <f>AS17/(1+'Input&amp;Output'!$D$33/100)^A17</f>
        <v>14.501448860117526</v>
      </c>
      <c r="AW17" s="4">
        <f t="shared" si="5"/>
        <v>338.49395402096945</v>
      </c>
      <c r="AX17" s="4">
        <f t="shared" si="1"/>
        <v>0</v>
      </c>
      <c r="AZ17" s="4">
        <f t="shared" si="2"/>
        <v>34.193657855868722</v>
      </c>
      <c r="BA17" s="4">
        <f t="shared" si="2"/>
        <v>6.6269599717776373</v>
      </c>
      <c r="BB17" s="4">
        <f t="shared" si="2"/>
        <v>1.6549818706353472</v>
      </c>
      <c r="BC17" s="4">
        <f t="shared" si="2"/>
        <v>0.49758321046638143</v>
      </c>
      <c r="BD17" s="4">
        <f t="shared" si="2"/>
        <v>0.17238243690241062</v>
      </c>
      <c r="BE17" s="4">
        <f t="shared" si="2"/>
        <v>6.6784487999743597E-2</v>
      </c>
    </row>
    <row r="18" spans="1:57" ht="12" customHeight="1" x14ac:dyDescent="0.2">
      <c r="A18" s="8">
        <v>10</v>
      </c>
      <c r="C18" s="4">
        <f>C17*(1-'Input&amp;Output'!$D$6/100)</f>
        <v>5.0609027600886121</v>
      </c>
      <c r="D18" s="4">
        <f>C18*'Input&amp;Output'!$D$7/1000</f>
        <v>7.5913541401329185</v>
      </c>
      <c r="F18" s="4">
        <f>'Input&amp;Output'!$D$30*C18</f>
        <v>101.21805520177224</v>
      </c>
      <c r="G18" s="4">
        <f>'Input&amp;Output'!$D$30*D18</f>
        <v>151.82708280265837</v>
      </c>
      <c r="I18" s="4">
        <f t="shared" si="3"/>
        <v>253.04513800443061</v>
      </c>
      <c r="M18" s="4">
        <f>'Input&amp;Output'!$D$20*(1+('Input&amp;Output'!$G$20/100))^ROW(A10)</f>
        <v>1.2189944199947571</v>
      </c>
      <c r="N18" s="4">
        <f>'Input&amp;Output'!$D$21*(1+('Input&amp;Output'!$G$21/100))^ROW(A10)</f>
        <v>4.8866838803323249</v>
      </c>
      <c r="O18" s="4">
        <f>'Input&amp;Output'!$D$22*(1+('Input&amp;Output'!$G$22/100))^ROW(A10)</f>
        <v>8.9542384827142723</v>
      </c>
      <c r="P18" s="4">
        <f>('Input&amp;Output'!$D$23*'Input&amp;Output'!$D$27*12/1000000)*(1+('Input&amp;Output'!$G$23/100))^ROW(A10)</f>
        <v>0.3976639651480337</v>
      </c>
      <c r="Q18" s="4">
        <f>('Input&amp;Output'!$D$24*'Input&amp;Output'!$D$27*365/1000000)*((1+('Input&amp;Output'!$G$24/100))^ROW(A10))</f>
        <v>5.6802959876190036</v>
      </c>
      <c r="R18" s="4">
        <f>'Input&amp;Output'!$D$25*((1+('Input&amp;Output'!$G$25/100))^ROW(A10))</f>
        <v>3.9343027145791312</v>
      </c>
      <c r="S18" s="4">
        <v>59.014540718686966</v>
      </c>
      <c r="U18" s="4">
        <v>84.086720169074482</v>
      </c>
      <c r="W18" s="4">
        <v>115.02051727474117</v>
      </c>
      <c r="AG18" s="4">
        <f>IF(A18&lt;='Input&amp;Output'!$D$38,$K$8/'Input&amp;Output'!$D$38,0)</f>
        <v>21.9</v>
      </c>
      <c r="AH18" s="4">
        <v>84.086720169074482</v>
      </c>
      <c r="AK18" s="4">
        <f t="shared" si="4"/>
        <v>9.0337971056666859</v>
      </c>
      <c r="AL18" s="4">
        <f>AK18*('Input&amp;Output'!$D$32/100)</f>
        <v>3.6135188422666746</v>
      </c>
      <c r="AM18" s="8"/>
      <c r="AN18" s="5"/>
      <c r="AO18" s="4">
        <v>115.02051727474117</v>
      </c>
      <c r="AQ18" s="4">
        <v>84.086720169074482</v>
      </c>
      <c r="AR18" s="4">
        <v>3.6135188422666746</v>
      </c>
      <c r="AS18" s="4">
        <f t="shared" si="0"/>
        <v>27.320278263400009</v>
      </c>
      <c r="AU18" s="4">
        <f>AS18/(1+'Input&amp;Output'!$D$33/100)^A18</f>
        <v>10.533149949801368</v>
      </c>
      <c r="AW18" s="4">
        <f t="shared" si="5"/>
        <v>365.81423228436944</v>
      </c>
      <c r="AX18" s="4">
        <f t="shared" si="1"/>
        <v>0</v>
      </c>
      <c r="AZ18" s="4">
        <f t="shared" si="2"/>
        <v>27.320278263400009</v>
      </c>
      <c r="BA18" s="4">
        <f t="shared" si="2"/>
        <v>4.4123774656432015</v>
      </c>
      <c r="BB18" s="4">
        <f t="shared" si="2"/>
        <v>0.94450608809275149</v>
      </c>
      <c r="BC18" s="4">
        <f t="shared" si="2"/>
        <v>0.2484764833152438</v>
      </c>
      <c r="BD18" s="4">
        <f t="shared" si="2"/>
        <v>7.6517375820397221E-2</v>
      </c>
      <c r="BE18" s="4">
        <f t="shared" si="2"/>
        <v>2.6679959241601572E-2</v>
      </c>
    </row>
    <row r="19" spans="1:57" ht="12" customHeight="1" x14ac:dyDescent="0.2">
      <c r="A19" s="8">
        <v>11</v>
      </c>
      <c r="C19" s="4">
        <f>C18*(1-'Input&amp;Output'!$D$6/100)</f>
        <v>4.8078576220841809</v>
      </c>
      <c r="D19" s="4">
        <f>C19*'Input&amp;Output'!$D$7/1000</f>
        <v>7.2117864331262718</v>
      </c>
      <c r="F19" s="4">
        <f>'Input&amp;Output'!$D$30*C19</f>
        <v>96.157152441683621</v>
      </c>
      <c r="G19" s="4">
        <f>'Input&amp;Output'!$D$30*D19</f>
        <v>144.23572866252545</v>
      </c>
      <c r="I19" s="4">
        <f t="shared" si="3"/>
        <v>240.39288110420907</v>
      </c>
      <c r="M19" s="4">
        <f>'Input&amp;Output'!$D$20*(1+('Input&amp;Output'!$G$20/100))^ROW(A11)</f>
        <v>1.243374308394652</v>
      </c>
      <c r="N19" s="4">
        <f>'Input&amp;Output'!$D$21*(1+('Input&amp;Output'!$G$21/100))^ROW(A11)</f>
        <v>5.1310180743489413</v>
      </c>
      <c r="O19" s="4">
        <f>'Input&amp;Output'!$D$22*(1+('Input&amp;Output'!$G$22/100))^ROW(A11)</f>
        <v>9.4914927916771301</v>
      </c>
      <c r="P19" s="4">
        <f>('Input&amp;Output'!$D$23*'Input&amp;Output'!$D$27*12/1000000)*(1+('Input&amp;Output'!$G$23/100))^ROW(A11)</f>
        <v>0.40164060479951397</v>
      </c>
      <c r="Q19" s="4">
        <f>('Input&amp;Output'!$D$24*'Input&amp;Output'!$D$27*365/1000000)*((1+('Input&amp;Output'!$G$24/100))^ROW(A11))</f>
        <v>6.2483255863809051</v>
      </c>
      <c r="R19" s="4">
        <f>'Input&amp;Output'!$D$25*((1+('Input&amp;Output'!$G$25/100))^ROW(A11))</f>
        <v>4.2097039045996709</v>
      </c>
      <c r="S19" s="4">
        <v>63.145558568995064</v>
      </c>
      <c r="U19" s="4">
        <v>89.871113839195871</v>
      </c>
      <c r="W19" s="4">
        <v>109.26949141100411</v>
      </c>
      <c r="AG19" s="4">
        <f>IF(A19&lt;='Input&amp;Output'!$D$38,$K$8/'Input&amp;Output'!$D$38,0)</f>
        <v>0</v>
      </c>
      <c r="AH19" s="4">
        <v>89.871113839195871</v>
      </c>
      <c r="AK19" s="4">
        <f t="shared" si="4"/>
        <v>19.39837757180824</v>
      </c>
      <c r="AL19" s="4">
        <f>AK19*('Input&amp;Output'!$D$32/100)</f>
        <v>7.7593510287232963</v>
      </c>
      <c r="AM19" s="8"/>
      <c r="AN19" s="5"/>
      <c r="AO19" s="4">
        <v>109.26949141100411</v>
      </c>
      <c r="AQ19" s="4">
        <v>89.871113839195871</v>
      </c>
      <c r="AR19" s="4">
        <v>7.7593510287232963</v>
      </c>
      <c r="AS19" s="4">
        <f t="shared" si="0"/>
        <v>11.639026543084944</v>
      </c>
      <c r="AU19" s="4">
        <f>AS19/(1+'Input&amp;Output'!$D$33/100)^A19</f>
        <v>4.0794077992532696</v>
      </c>
      <c r="AW19" s="4">
        <f t="shared" si="5"/>
        <v>377.45325882745436</v>
      </c>
      <c r="AX19" s="4">
        <f t="shared" si="1"/>
        <v>0</v>
      </c>
      <c r="AZ19" s="4">
        <f t="shared" si="2"/>
        <v>11.639026543084944</v>
      </c>
      <c r="BA19" s="4">
        <f t="shared" si="2"/>
        <v>1.5664731384261001</v>
      </c>
      <c r="BB19" s="4">
        <f t="shared" si="2"/>
        <v>0.28741422981101611</v>
      </c>
      <c r="BC19" s="4">
        <f t="shared" si="2"/>
        <v>6.6160206092063911E-2</v>
      </c>
      <c r="BD19" s="4">
        <f t="shared" si="2"/>
        <v>1.81100271949096E-2</v>
      </c>
      <c r="BE19" s="4">
        <f t="shared" si="2"/>
        <v>5.6831184292406951E-3</v>
      </c>
    </row>
    <row r="20" spans="1:57" ht="12" customHeight="1" x14ac:dyDescent="0.2">
      <c r="A20" s="8">
        <v>12</v>
      </c>
      <c r="C20" s="4">
        <f>C19*(1-'Input&amp;Output'!$D$6/100)</f>
        <v>4.5674647409799718</v>
      </c>
      <c r="D20" s="4">
        <f>C20*'Input&amp;Output'!$D$7/1000</f>
        <v>6.8511971114699568</v>
      </c>
      <c r="F20" s="4">
        <f>'Input&amp;Output'!$D$30*C20</f>
        <v>91.349294819599436</v>
      </c>
      <c r="G20" s="4">
        <f>'Input&amp;Output'!$D$30*D20</f>
        <v>137.02394222939913</v>
      </c>
      <c r="I20" s="4">
        <f t="shared" si="3"/>
        <v>228.37323704899856</v>
      </c>
      <c r="M20" s="4">
        <f>'Input&amp;Output'!$D$20*(1+('Input&amp;Output'!$G$20/100))^ROW(A12)</f>
        <v>1.2682417945625453</v>
      </c>
      <c r="N20" s="4">
        <f>'Input&amp;Output'!$D$21*(1+('Input&amp;Output'!$G$21/100))^ROW(A12)</f>
        <v>5.3875689780663878</v>
      </c>
      <c r="O20" s="4">
        <f>'Input&amp;Output'!$D$22*(1+('Input&amp;Output'!$G$22/100))^ROW(A12)</f>
        <v>10.060982359177759</v>
      </c>
      <c r="P20" s="4">
        <f>('Input&amp;Output'!$D$23*'Input&amp;Output'!$D$27*12/1000000)*(1+('Input&amp;Output'!$G$23/100))^ROW(A12)</f>
        <v>0.4056570108475091</v>
      </c>
      <c r="Q20" s="4">
        <f>('Input&amp;Output'!$D$24*'Input&amp;Output'!$D$27*365/1000000)*((1+('Input&amp;Output'!$G$24/100))^ROW(A12))</f>
        <v>6.8731581450189951</v>
      </c>
      <c r="R20" s="4">
        <f>'Input&amp;Output'!$D$25*((1+('Input&amp;Output'!$G$25/100))^ROW(A12))</f>
        <v>4.504383177921647</v>
      </c>
      <c r="S20" s="4">
        <v>67.565747668824699</v>
      </c>
      <c r="U20" s="4">
        <v>96.065739134419545</v>
      </c>
      <c r="W20" s="4">
        <v>103.80601684045391</v>
      </c>
      <c r="AG20" s="4">
        <f>IF(A20&lt;='Input&amp;Output'!$D$38,$K$8/'Input&amp;Output'!$D$38,0)</f>
        <v>0</v>
      </c>
      <c r="AH20" s="4">
        <v>96.065739134419545</v>
      </c>
      <c r="AK20" s="4">
        <f t="shared" si="4"/>
        <v>7.7402777060343624</v>
      </c>
      <c r="AL20" s="4">
        <f>AK20*('Input&amp;Output'!$D$32/100)</f>
        <v>3.0961110824137452</v>
      </c>
      <c r="AM20" s="8"/>
      <c r="AN20" s="5"/>
      <c r="AO20" s="4">
        <v>103.80601684045391</v>
      </c>
      <c r="AQ20" s="4">
        <v>96.065739134419545</v>
      </c>
      <c r="AR20" s="4">
        <v>3.0961110824137452</v>
      </c>
      <c r="AS20" s="4">
        <f t="shared" si="0"/>
        <v>4.6441666236206167</v>
      </c>
      <c r="AU20" s="4">
        <f>AS20/(1+'Input&amp;Output'!$D$33/100)^A20</f>
        <v>1.4797746088673829</v>
      </c>
      <c r="AW20" s="4">
        <f t="shared" si="5"/>
        <v>382.09742545107497</v>
      </c>
      <c r="AX20" s="4">
        <f t="shared" si="1"/>
        <v>0</v>
      </c>
      <c r="AZ20" s="4">
        <f t="shared" si="2"/>
        <v>4.6441666236206167</v>
      </c>
      <c r="BA20" s="4">
        <f t="shared" si="2"/>
        <v>0.52087419276764901</v>
      </c>
      <c r="BB20" s="4">
        <f t="shared" si="2"/>
        <v>8.1916495599698394E-2</v>
      </c>
      <c r="BC20" s="4">
        <f t="shared" si="2"/>
        <v>1.649939429036568E-2</v>
      </c>
      <c r="BD20" s="4">
        <f t="shared" si="2"/>
        <v>4.0145579538957074E-3</v>
      </c>
      <c r="BE20" s="4">
        <f t="shared" si="2"/>
        <v>1.1338297420948771E-3</v>
      </c>
    </row>
    <row r="21" spans="1:57" ht="12" customHeight="1" x14ac:dyDescent="0.2">
      <c r="A21" s="8">
        <v>13</v>
      </c>
      <c r="C21" s="4">
        <f>C20*(1-'Input&amp;Output'!$D$6/100)</f>
        <v>4.3390915039309732</v>
      </c>
      <c r="D21" s="4">
        <f>C21*'Input&amp;Output'!$D$7/1000</f>
        <v>6.5086372558964598</v>
      </c>
      <c r="F21" s="4">
        <f>'Input&amp;Output'!$D$30*C21</f>
        <v>86.781830078619464</v>
      </c>
      <c r="G21" s="4">
        <f>'Input&amp;Output'!$D$30*D21</f>
        <v>130.1727451179292</v>
      </c>
      <c r="I21" s="4">
        <f t="shared" si="3"/>
        <v>216.95457519654866</v>
      </c>
      <c r="M21" s="4">
        <f>'Input&amp;Output'!$D$20*(1+('Input&amp;Output'!$G$20/100))^ROW(A13)</f>
        <v>1.2936066304537961</v>
      </c>
      <c r="N21" s="4">
        <f>'Input&amp;Output'!$D$21*(1+('Input&amp;Output'!$G$21/100))^ROW(A13)</f>
        <v>5.6569474269697082</v>
      </c>
      <c r="O21" s="4">
        <f>'Input&amp;Output'!$D$22*(1+('Input&amp;Output'!$G$22/100))^ROW(A13)</f>
        <v>10.664641300728427</v>
      </c>
      <c r="P21" s="4">
        <f>('Input&amp;Output'!$D$23*'Input&amp;Output'!$D$27*12/1000000)*(1+('Input&amp;Output'!$G$23/100))^ROW(A13)</f>
        <v>0.4097135809559842</v>
      </c>
      <c r="Q21" s="4">
        <f>('Input&amp;Output'!$D$24*'Input&amp;Output'!$D$27*365/1000000)*((1+('Input&amp;Output'!$G$24/100))^ROW(A13))</f>
        <v>7.5604739595208956</v>
      </c>
      <c r="R21" s="4">
        <f>'Input&amp;Output'!$D$25*((1+('Input&amp;Output'!$G$25/100))^ROW(A13))</f>
        <v>4.8196900003761627</v>
      </c>
      <c r="S21" s="4">
        <v>72.295350005642433</v>
      </c>
      <c r="U21" s="4">
        <v>102.70042290464741</v>
      </c>
      <c r="W21" s="4">
        <v>98.615715998431199</v>
      </c>
      <c r="AG21" s="4">
        <f>IF(A21&lt;='Input&amp;Output'!$D$38,$K$8/'Input&amp;Output'!$D$38,0)</f>
        <v>0</v>
      </c>
      <c r="AH21" s="4">
        <v>102.70042290464741</v>
      </c>
      <c r="AK21" s="4">
        <f t="shared" si="4"/>
        <v>0</v>
      </c>
      <c r="AL21" s="4">
        <f>AK21*('Input&amp;Output'!$D$32/100)</f>
        <v>0</v>
      </c>
      <c r="AM21" s="8"/>
      <c r="AN21" s="5"/>
      <c r="AO21" s="4">
        <v>98.615715998431199</v>
      </c>
      <c r="AQ21" s="4">
        <v>102.70042290464741</v>
      </c>
      <c r="AR21" s="4">
        <v>0</v>
      </c>
      <c r="AS21" s="4">
        <f t="shared" si="0"/>
        <v>-4.084706906216212</v>
      </c>
      <c r="AU21" s="4">
        <f>AS21/(1+'Input&amp;Output'!$D$33/100)^A21</f>
        <v>-1.1831940923952839</v>
      </c>
      <c r="AW21" s="4">
        <f t="shared" si="5"/>
        <v>378.01271854485879</v>
      </c>
      <c r="AX21" s="4">
        <f t="shared" si="1"/>
        <v>0</v>
      </c>
      <c r="AZ21" s="4">
        <f t="shared" si="2"/>
        <v>-4.084706906216212</v>
      </c>
      <c r="BA21" s="4">
        <f t="shared" si="2"/>
        <v>-0.38177255198068738</v>
      </c>
      <c r="BB21" s="4">
        <f t="shared" si="2"/>
        <v>-5.1463158351826604E-2</v>
      </c>
      <c r="BC21" s="4">
        <f t="shared" si="2"/>
        <v>-9.0698713122532443E-3</v>
      </c>
      <c r="BD21" s="4">
        <f t="shared" si="2"/>
        <v>-1.9616355944346211E-3</v>
      </c>
      <c r="BE21" s="4">
        <f t="shared" si="2"/>
        <v>-4.9862144851272119E-4</v>
      </c>
    </row>
    <row r="22" spans="1:57" ht="12" customHeight="1" x14ac:dyDescent="0.2">
      <c r="A22" s="8">
        <v>14</v>
      </c>
      <c r="C22" s="4">
        <f>C21*(1-'Input&amp;Output'!$D$6/100)</f>
        <v>4.1221369287344247</v>
      </c>
      <c r="D22" s="4">
        <f>C22*'Input&amp;Output'!$D$7/1000</f>
        <v>6.1832053931016375</v>
      </c>
      <c r="F22" s="4">
        <f>'Input&amp;Output'!$D$30*C22</f>
        <v>82.442738574688491</v>
      </c>
      <c r="G22" s="4">
        <f>'Input&amp;Output'!$D$30*D22</f>
        <v>123.66410786203275</v>
      </c>
      <c r="I22" s="4">
        <f t="shared" si="3"/>
        <v>206.10684643672124</v>
      </c>
      <c r="M22" s="4">
        <f>'Input&amp;Output'!$D$20*(1+('Input&amp;Output'!$G$20/100))^ROW(A14)</f>
        <v>1.3194787630628722</v>
      </c>
      <c r="N22" s="4">
        <f>'Input&amp;Output'!$D$21*(1+('Input&amp;Output'!$G$21/100))^ROW(A14)</f>
        <v>5.939794798318192</v>
      </c>
      <c r="O22" s="4">
        <f>'Input&amp;Output'!$D$22*(1+('Input&amp;Output'!$G$22/100))^ROW(A14)</f>
        <v>11.30451977877213</v>
      </c>
      <c r="P22" s="4">
        <f>('Input&amp;Output'!$D$23*'Input&amp;Output'!$D$27*12/1000000)*(1+('Input&amp;Output'!$G$23/100))^ROW(A14)</f>
        <v>0.4138107167655441</v>
      </c>
      <c r="Q22" s="4">
        <f>('Input&amp;Output'!$D$24*'Input&amp;Output'!$D$27*365/1000000)*((1+('Input&amp;Output'!$G$24/100))^ROW(A14))</f>
        <v>8.316521355472986</v>
      </c>
      <c r="R22" s="4">
        <f>'Input&amp;Output'!$D$25*((1+('Input&amp;Output'!$G$25/100))^ROW(A14))</f>
        <v>5.1570683004024938</v>
      </c>
      <c r="S22" s="4">
        <v>77.3560245060374</v>
      </c>
      <c r="U22" s="4">
        <v>109.80721821883162</v>
      </c>
      <c r="W22" s="4">
        <v>93.684930198509633</v>
      </c>
      <c r="AG22" s="4">
        <f>IF(A22&lt;='Input&amp;Output'!$D$38,$K$8/'Input&amp;Output'!$D$38,0)</f>
        <v>0</v>
      </c>
      <c r="AH22" s="4">
        <v>109.80721821883162</v>
      </c>
      <c r="AK22" s="4">
        <f t="shared" si="4"/>
        <v>0</v>
      </c>
      <c r="AL22" s="4">
        <f>AK22*('Input&amp;Output'!$D$32/100)</f>
        <v>0</v>
      </c>
      <c r="AM22" s="8"/>
      <c r="AN22" s="5"/>
      <c r="AO22" s="4">
        <v>93.684930198509633</v>
      </c>
      <c r="AQ22" s="4">
        <v>109.80721821883162</v>
      </c>
      <c r="AR22" s="4">
        <v>0</v>
      </c>
      <c r="AS22" s="4">
        <f t="shared" si="0"/>
        <v>-16.122288020321989</v>
      </c>
      <c r="AU22" s="4">
        <f>AS22/(1+'Input&amp;Output'!$D$33/100)^A22</f>
        <v>-4.2455023266752727</v>
      </c>
      <c r="AW22" s="4">
        <f t="shared" si="5"/>
        <v>361.89043052453678</v>
      </c>
      <c r="AX22" s="4">
        <f t="shared" si="1"/>
        <v>0</v>
      </c>
      <c r="AZ22" s="4">
        <f t="shared" si="2"/>
        <v>-16.122288020321989</v>
      </c>
      <c r="BA22" s="4">
        <f t="shared" si="2"/>
        <v>-1.2557096471065203</v>
      </c>
      <c r="BB22" s="4">
        <f t="shared" si="2"/>
        <v>-0.14508889594308172</v>
      </c>
      <c r="BC22" s="4">
        <f t="shared" si="2"/>
        <v>-2.2374169212249724E-2</v>
      </c>
      <c r="BD22" s="4">
        <f t="shared" si="2"/>
        <v>-4.3014175626463836E-3</v>
      </c>
      <c r="BE22" s="4">
        <f t="shared" si="2"/>
        <v>-9.8402636842785576E-4</v>
      </c>
    </row>
    <row r="23" spans="1:57" ht="12" customHeight="1" x14ac:dyDescent="0.2">
      <c r="A23" s="8">
        <v>15</v>
      </c>
      <c r="C23" s="4">
        <f>C22*(1-'Input&amp;Output'!$D$6/100)</f>
        <v>3.9160300822977034</v>
      </c>
      <c r="D23" s="4">
        <f>C23*'Input&amp;Output'!$D$7/1000</f>
        <v>5.8740451234465558</v>
      </c>
      <c r="F23" s="4">
        <f>'Input&amp;Output'!$D$30*C23</f>
        <v>78.320601645954071</v>
      </c>
      <c r="G23" s="4">
        <f>'Input&amp;Output'!$D$30*D23</f>
        <v>117.48090246893112</v>
      </c>
      <c r="I23" s="4">
        <f t="shared" si="3"/>
        <v>195.80150411488518</v>
      </c>
      <c r="M23" s="4">
        <f>'Input&amp;Output'!$D$20*(1+('Input&amp;Output'!$G$20/100))^ROW(A15)</f>
        <v>1.3458683383241292</v>
      </c>
      <c r="N23" s="4">
        <f>'Input&amp;Output'!$D$21*(1+('Input&amp;Output'!$G$21/100))^ROW(A15)</f>
        <v>6.2367845382341036</v>
      </c>
      <c r="O23" s="4">
        <f>'Input&amp;Output'!$D$22*(1+('Input&amp;Output'!$G$22/100))^ROW(A15)</f>
        <v>11.982790965498463</v>
      </c>
      <c r="P23" s="4">
        <f>('Input&amp;Output'!$D$23*'Input&amp;Output'!$D$27*12/1000000)*(1+('Input&amp;Output'!$G$23/100))^ROW(A15)</f>
        <v>0.41794882393319943</v>
      </c>
      <c r="Q23" s="4">
        <f>('Input&amp;Output'!$D$24*'Input&amp;Output'!$D$27*365/1000000)*((1+('Input&amp;Output'!$G$24/100))^ROW(A15))</f>
        <v>9.1481734910202857</v>
      </c>
      <c r="R23" s="4">
        <f>'Input&amp;Output'!$D$25*((1+('Input&amp;Output'!$G$25/100))^ROW(A15))</f>
        <v>5.518063081430669</v>
      </c>
      <c r="S23" s="4">
        <v>82.770946221460036</v>
      </c>
      <c r="U23" s="4">
        <v>117.42057545990087</v>
      </c>
      <c r="W23" s="4">
        <v>89.000683688584147</v>
      </c>
      <c r="AG23" s="4">
        <f>IF(A23&lt;='Input&amp;Output'!$D$38,$K$8/'Input&amp;Output'!$D$38,0)</f>
        <v>0</v>
      </c>
      <c r="AH23" s="4">
        <v>117.42057545990087</v>
      </c>
      <c r="AK23" s="4">
        <f t="shared" si="4"/>
        <v>0</v>
      </c>
      <c r="AL23" s="4">
        <f>AK23*('Input&amp;Output'!$D$32/100)</f>
        <v>0</v>
      </c>
      <c r="AM23" s="8"/>
      <c r="AN23" s="5"/>
      <c r="AO23" s="4">
        <v>89.000683688584147</v>
      </c>
      <c r="AQ23" s="4">
        <v>117.42057545990087</v>
      </c>
      <c r="AR23" s="4">
        <v>0</v>
      </c>
      <c r="AS23" s="4">
        <f t="shared" si="0"/>
        <v>-28.419891771316728</v>
      </c>
      <c r="AU23" s="4">
        <f>AS23/(1+'Input&amp;Output'!$D$33/100)^A23</f>
        <v>-6.8034961339853348</v>
      </c>
      <c r="AW23" s="4">
        <f t="shared" si="5"/>
        <v>333.47053875322007</v>
      </c>
      <c r="AX23" s="4">
        <f t="shared" si="1"/>
        <v>0</v>
      </c>
      <c r="AZ23" s="4">
        <f t="shared" si="2"/>
        <v>-28.419891771316728</v>
      </c>
      <c r="BA23" s="4">
        <f t="shared" si="2"/>
        <v>-1.8446064759326932</v>
      </c>
      <c r="BB23" s="4">
        <f t="shared" si="2"/>
        <v>-0.18268457725482254</v>
      </c>
      <c r="BC23" s="4">
        <f t="shared" si="2"/>
        <v>-2.4650326720211564E-2</v>
      </c>
      <c r="BD23" s="4">
        <f t="shared" si="2"/>
        <v>-4.2124508161745311E-3</v>
      </c>
      <c r="BE23" s="4">
        <f t="shared" si="2"/>
        <v>-8.6730626743520287E-4</v>
      </c>
    </row>
    <row r="24" spans="1:57" ht="12" customHeight="1" x14ac:dyDescent="0.2">
      <c r="A24" s="8">
        <v>16</v>
      </c>
      <c r="C24" s="4">
        <f>C23*(1-'Input&amp;Output'!$D$6/100)</f>
        <v>3.7202285781828182</v>
      </c>
      <c r="D24" s="4">
        <f>C24*'Input&amp;Output'!$D$7/1000</f>
        <v>5.5803428672742275</v>
      </c>
      <c r="F24" s="4">
        <f>'Input&amp;Output'!$D$30*C24</f>
        <v>74.404571563656361</v>
      </c>
      <c r="G24" s="4">
        <f>'Input&amp;Output'!$D$30*D24</f>
        <v>111.60685734548454</v>
      </c>
      <c r="I24" s="4">
        <f t="shared" si="3"/>
        <v>186.0114289091409</v>
      </c>
      <c r="M24" s="4">
        <f>'Input&amp;Output'!$D$20*(1+('Input&amp;Output'!$G$20/100))^ROW(A16)</f>
        <v>1.372785705090612</v>
      </c>
      <c r="N24" s="4">
        <f>'Input&amp;Output'!$D$21*(1+('Input&amp;Output'!$G$21/100))^ROW(A16)</f>
        <v>6.5486237651458081</v>
      </c>
      <c r="O24" s="4">
        <f>'Input&amp;Output'!$D$22*(1+('Input&amp;Output'!$G$22/100))^ROW(A16)</f>
        <v>12.701758423428366</v>
      </c>
      <c r="P24" s="4">
        <f>('Input&amp;Output'!$D$23*'Input&amp;Output'!$D$27*12/1000000)*(1+('Input&amp;Output'!$G$23/100))^ROW(A16)</f>
        <v>0.42212831217253155</v>
      </c>
      <c r="Q24" s="4">
        <f>('Input&amp;Output'!$D$24*'Input&amp;Output'!$D$27*365/1000000)*((1+('Input&amp;Output'!$G$24/100))^ROW(A16))</f>
        <v>10.062990840122314</v>
      </c>
      <c r="R24" s="4">
        <f>'Input&amp;Output'!$D$25*((1+('Input&amp;Output'!$G$25/100))^ROW(A16))</f>
        <v>5.9043274971308151</v>
      </c>
      <c r="S24" s="4">
        <v>88.564912456962219</v>
      </c>
      <c r="U24" s="4">
        <v>125.57752700005267</v>
      </c>
      <c r="W24" s="4">
        <v>84.550649504154933</v>
      </c>
      <c r="AG24" s="4">
        <f>IF(A24&lt;='Input&amp;Output'!$D$38,$K$8/'Input&amp;Output'!$D$38,0)</f>
        <v>0</v>
      </c>
      <c r="AH24" s="4">
        <v>125.57752700005267</v>
      </c>
      <c r="AK24" s="4">
        <f t="shared" si="4"/>
        <v>0</v>
      </c>
      <c r="AL24" s="4">
        <f>AK24*('Input&amp;Output'!$D$32/100)</f>
        <v>0</v>
      </c>
      <c r="AM24" s="8"/>
      <c r="AN24" s="5"/>
      <c r="AO24" s="4">
        <v>84.550649504154933</v>
      </c>
      <c r="AQ24" s="4">
        <v>125.57752700005267</v>
      </c>
      <c r="AR24" s="4">
        <v>0</v>
      </c>
      <c r="AS24" s="4">
        <f t="shared" si="0"/>
        <v>-41.026877495897736</v>
      </c>
      <c r="AU24" s="4">
        <f>AS24/(1+'Input&amp;Output'!$D$33/100)^A24</f>
        <v>-8.9286438936005172</v>
      </c>
      <c r="AW24" s="4">
        <f t="shared" si="5"/>
        <v>292.44366125732233</v>
      </c>
      <c r="AX24" s="4">
        <f t="shared" si="1"/>
        <v>0</v>
      </c>
      <c r="AZ24" s="4">
        <f t="shared" si="2"/>
        <v>-41.026877495897736</v>
      </c>
      <c r="BA24" s="4">
        <f t="shared" si="2"/>
        <v>-2.2190573573486194</v>
      </c>
      <c r="BB24" s="4">
        <f t="shared" si="2"/>
        <v>-0.18837353759453559</v>
      </c>
      <c r="BC24" s="4">
        <f t="shared" si="2"/>
        <v>-2.224071485567445E-2</v>
      </c>
      <c r="BD24" s="4">
        <f t="shared" si="2"/>
        <v>-3.3783791097862937E-3</v>
      </c>
      <c r="BE24" s="4">
        <f t="shared" si="2"/>
        <v>-6.2602046960293176E-4</v>
      </c>
    </row>
    <row r="25" spans="1:57" ht="12" customHeight="1" x14ac:dyDescent="0.2">
      <c r="A25" s="8">
        <v>17</v>
      </c>
      <c r="C25" s="4">
        <f>C24*(1-'Input&amp;Output'!$D$6/100)</f>
        <v>3.5342171492736769</v>
      </c>
      <c r="D25" s="4">
        <f>C25*'Input&amp;Output'!$D$7/1000</f>
        <v>5.3013257239105149</v>
      </c>
      <c r="F25" s="4">
        <f>'Input&amp;Output'!$D$30*C25</f>
        <v>70.684342985473535</v>
      </c>
      <c r="G25" s="4">
        <f>'Input&amp;Output'!$D$30*D25</f>
        <v>106.0265144782103</v>
      </c>
      <c r="I25" s="4">
        <f t="shared" si="3"/>
        <v>176.71085746368385</v>
      </c>
      <c r="M25" s="4">
        <f>'Input&amp;Output'!$D$20*(1+('Input&amp;Output'!$G$20/100))^ROW(A17)</f>
        <v>1.4002414191924244</v>
      </c>
      <c r="N25" s="4">
        <f>'Input&amp;Output'!$D$21*(1+('Input&amp;Output'!$G$21/100))^ROW(A17)</f>
        <v>6.8760549534030995</v>
      </c>
      <c r="O25" s="4">
        <f>'Input&amp;Output'!$D$22*(1+('Input&amp;Output'!$G$22/100))^ROW(A17)</f>
        <v>13.463863928834069</v>
      </c>
      <c r="P25" s="4">
        <f>('Input&amp;Output'!$D$23*'Input&amp;Output'!$D$27*12/1000000)*(1+('Input&amp;Output'!$G$23/100))^ROW(A17)</f>
        <v>0.42634959529425687</v>
      </c>
      <c r="Q25" s="4">
        <f>('Input&amp;Output'!$D$24*'Input&amp;Output'!$D$27*365/1000000)*((1+('Input&amp;Output'!$G$24/100))^ROW(A17))</f>
        <v>11.069289924134546</v>
      </c>
      <c r="R25" s="4">
        <f>'Input&amp;Output'!$D$25*((1+('Input&amp;Output'!$G$25/100))^ROW(A17))</f>
        <v>6.3176304219299722</v>
      </c>
      <c r="S25" s="4">
        <v>94.764456328949578</v>
      </c>
      <c r="U25" s="4">
        <v>134.31788657173794</v>
      </c>
      <c r="W25" s="4">
        <v>80.323117028947181</v>
      </c>
      <c r="AG25" s="4">
        <f>IF(A25&lt;='Input&amp;Output'!$D$38,$K$8/'Input&amp;Output'!$D$38,0)</f>
        <v>0</v>
      </c>
      <c r="AH25" s="4">
        <v>134.31788657173794</v>
      </c>
      <c r="AK25" s="4">
        <f t="shared" si="4"/>
        <v>0</v>
      </c>
      <c r="AL25" s="4">
        <f>AK25*('Input&amp;Output'!$D$32/100)</f>
        <v>0</v>
      </c>
      <c r="AM25" s="8"/>
      <c r="AN25" s="5"/>
      <c r="AO25" s="4">
        <v>80.323117028947181</v>
      </c>
      <c r="AQ25" s="4">
        <v>134.31788657173794</v>
      </c>
      <c r="AR25" s="4">
        <v>0</v>
      </c>
      <c r="AS25" s="4">
        <f t="shared" si="0"/>
        <v>-53.994769542790763</v>
      </c>
      <c r="AU25" s="4">
        <f>AS25/(1+'Input&amp;Output'!$D$33/100)^A25</f>
        <v>-10.682577302532534</v>
      </c>
      <c r="AW25" s="4">
        <f t="shared" si="5"/>
        <v>238.44889171453156</v>
      </c>
      <c r="AX25" s="4">
        <f t="shared" si="1"/>
        <v>0</v>
      </c>
      <c r="AZ25" s="4">
        <f t="shared" si="2"/>
        <v>-53.994769542790763</v>
      </c>
      <c r="BA25" s="4">
        <f t="shared" si="2"/>
        <v>-2.4337194282831929</v>
      </c>
      <c r="BB25" s="4">
        <f t="shared" si="2"/>
        <v>-0.17708227197078996</v>
      </c>
      <c r="BC25" s="4">
        <f t="shared" si="2"/>
        <v>-1.8294139512858684E-2</v>
      </c>
      <c r="BD25" s="4">
        <f t="shared" si="2"/>
        <v>-2.4701259894176707E-3</v>
      </c>
      <c r="BE25" s="4">
        <f t="shared" si="2"/>
        <v>-4.1194739946587191E-4</v>
      </c>
    </row>
    <row r="26" spans="1:57" ht="12" customHeight="1" x14ac:dyDescent="0.2">
      <c r="A26" s="8">
        <v>18</v>
      </c>
      <c r="C26" s="4">
        <f>C25*(1-'Input&amp;Output'!$D$6/100)</f>
        <v>3.3575062918099929</v>
      </c>
      <c r="D26" s="4">
        <f>C26*'Input&amp;Output'!$D$7/1000</f>
        <v>5.036259437714989</v>
      </c>
      <c r="F26" s="4">
        <f>'Input&amp;Output'!$D$30*C26</f>
        <v>67.150125836199862</v>
      </c>
      <c r="G26" s="4">
        <f>'Input&amp;Output'!$D$30*D26</f>
        <v>100.72518875429978</v>
      </c>
      <c r="I26" s="4">
        <f t="shared" si="3"/>
        <v>167.87531459049964</v>
      </c>
      <c r="M26" s="4">
        <f>'Input&amp;Output'!$D$20*(1+('Input&amp;Output'!$G$20/100))^ROW(A18)</f>
        <v>1.4282462475762727</v>
      </c>
      <c r="N26" s="4">
        <f>'Input&amp;Output'!$D$21*(1+('Input&amp;Output'!$G$21/100))^ROW(A18)</f>
        <v>7.2198577010732539</v>
      </c>
      <c r="O26" s="4">
        <f>'Input&amp;Output'!$D$22*(1+('Input&amp;Output'!$G$22/100))^ROW(A18)</f>
        <v>14.271695764564114</v>
      </c>
      <c r="P26" s="4">
        <f>('Input&amp;Output'!$D$23*'Input&amp;Output'!$D$27*12/1000000)*(1+('Input&amp;Output'!$G$23/100))^ROW(A18)</f>
        <v>0.43061309124719949</v>
      </c>
      <c r="Q26" s="4">
        <f>('Input&amp;Output'!$D$24*'Input&amp;Output'!$D$27*365/1000000)*((1+('Input&amp;Output'!$G$24/100))^ROW(A18))</f>
        <v>12.176218916548001</v>
      </c>
      <c r="R26" s="4">
        <f>'Input&amp;Output'!$D$25*((1+('Input&amp;Output'!$G$25/100))^ROW(A18))</f>
        <v>6.7598645514650704</v>
      </c>
      <c r="S26" s="4">
        <v>101.39796827197605</v>
      </c>
      <c r="U26" s="4">
        <v>143.68446454444995</v>
      </c>
      <c r="W26" s="4">
        <v>76.306961177499829</v>
      </c>
      <c r="AG26" s="4">
        <f>IF(A26&lt;='Input&amp;Output'!$D$38,$K$8/'Input&amp;Output'!$D$38,0)</f>
        <v>0</v>
      </c>
      <c r="AH26" s="4">
        <v>143.68446454444995</v>
      </c>
      <c r="AK26" s="4">
        <f t="shared" si="4"/>
        <v>0</v>
      </c>
      <c r="AL26" s="4">
        <f>AK26*('Input&amp;Output'!$D$32/100)</f>
        <v>0</v>
      </c>
      <c r="AM26" s="8"/>
      <c r="AN26" s="5"/>
      <c r="AO26" s="4">
        <v>76.306961177499829</v>
      </c>
      <c r="AQ26" s="4">
        <v>143.68446454444995</v>
      </c>
      <c r="AR26" s="4">
        <v>0</v>
      </c>
      <c r="AS26" s="4">
        <f t="shared" si="0"/>
        <v>-67.377503366950123</v>
      </c>
      <c r="AU26" s="4">
        <f>AS26/(1+'Input&amp;Output'!$D$33/100)^A26</f>
        <v>-12.118436222683618</v>
      </c>
      <c r="AW26" s="4">
        <f t="shared" si="5"/>
        <v>171.07138834758143</v>
      </c>
      <c r="AX26" s="4">
        <f t="shared" si="1"/>
        <v>0</v>
      </c>
      <c r="AZ26" s="4">
        <f t="shared" si="2"/>
        <v>-67.377503366950123</v>
      </c>
      <c r="BA26" s="4">
        <f t="shared" si="2"/>
        <v>-2.530768880669243</v>
      </c>
      <c r="BB26" s="4">
        <f t="shared" si="2"/>
        <v>-0.15783752861579747</v>
      </c>
      <c r="BC26" s="4">
        <f t="shared" si="2"/>
        <v>-1.4267741313886051E-2</v>
      </c>
      <c r="BD26" s="4">
        <f t="shared" si="2"/>
        <v>-1.7124181510548794E-3</v>
      </c>
      <c r="BE26" s="4">
        <f t="shared" si="2"/>
        <v>-2.5702477785854386E-4</v>
      </c>
    </row>
    <row r="27" spans="1:57" ht="12" customHeight="1" x14ac:dyDescent="0.2">
      <c r="A27" s="8">
        <v>19</v>
      </c>
      <c r="C27" s="4">
        <f>C26*(1-'Input&amp;Output'!$D$6/100)</f>
        <v>3.1896309772194931</v>
      </c>
      <c r="D27" s="4">
        <f>C27*'Input&amp;Output'!$D$7/1000</f>
        <v>4.78444646582924</v>
      </c>
      <c r="F27" s="4">
        <f>'Input&amp;Output'!$D$30*C27</f>
        <v>63.792619544389865</v>
      </c>
      <c r="G27" s="4">
        <f>'Input&amp;Output'!$D$30*D27</f>
        <v>95.688929316584804</v>
      </c>
      <c r="I27" s="4">
        <f t="shared" si="3"/>
        <v>159.48154886097467</v>
      </c>
      <c r="M27" s="4">
        <f>'Input&amp;Output'!$D$20*(1+('Input&amp;Output'!$G$20/100))^ROW(A19)</f>
        <v>1.4568111725277981</v>
      </c>
      <c r="N27" s="4">
        <f>'Input&amp;Output'!$D$21*(1+('Input&amp;Output'!$G$21/100))^ROW(A19)</f>
        <v>7.5808505861269175</v>
      </c>
      <c r="O27" s="4">
        <f>'Input&amp;Output'!$D$22*(1+('Input&amp;Output'!$G$22/100))^ROW(A19)</f>
        <v>15.127997510437963</v>
      </c>
      <c r="P27" s="4">
        <f>('Input&amp;Output'!$D$23*'Input&amp;Output'!$D$27*12/1000000)*(1+('Input&amp;Output'!$G$23/100))^ROW(A19)</f>
        <v>0.43491922215967138</v>
      </c>
      <c r="Q27" s="4">
        <f>('Input&amp;Output'!$D$24*'Input&amp;Output'!$D$27*365/1000000)*((1+('Input&amp;Output'!$G$24/100))^ROW(A19))</f>
        <v>13.393840808202803</v>
      </c>
      <c r="R27" s="4">
        <f>'Input&amp;Output'!$D$25*((1+('Input&amp;Output'!$G$25/100))^ROW(A19))</f>
        <v>7.2330550700676257</v>
      </c>
      <c r="S27" s="4">
        <v>108.49582605101439</v>
      </c>
      <c r="U27" s="4">
        <v>153.72330042053716</v>
      </c>
      <c r="W27" s="4">
        <v>72.491613118624826</v>
      </c>
      <c r="AG27" s="4">
        <f>IF(A27&lt;='Input&amp;Output'!$D$38,$K$8/'Input&amp;Output'!$D$38,0)</f>
        <v>0</v>
      </c>
      <c r="AH27" s="4">
        <v>153.72330042053716</v>
      </c>
      <c r="AK27" s="4">
        <f t="shared" si="4"/>
        <v>0</v>
      </c>
      <c r="AL27" s="4">
        <f>AK27*('Input&amp;Output'!$D$32/100)</f>
        <v>0</v>
      </c>
      <c r="AM27" s="8"/>
      <c r="AN27" s="5"/>
      <c r="AO27" s="4">
        <v>72.491613118624826</v>
      </c>
      <c r="AQ27" s="4">
        <v>153.72330042053716</v>
      </c>
      <c r="AR27" s="4">
        <v>0</v>
      </c>
      <c r="AS27" s="4">
        <f t="shared" si="0"/>
        <v>-81.231687301912331</v>
      </c>
      <c r="AU27" s="4">
        <f>AS27/(1+'Input&amp;Output'!$D$33/100)^A27</f>
        <v>-13.282029982186895</v>
      </c>
      <c r="AW27" s="4">
        <f t="shared" si="5"/>
        <v>89.839701045669102</v>
      </c>
      <c r="AX27" s="4">
        <f t="shared" si="1"/>
        <v>0</v>
      </c>
      <c r="AZ27" s="4">
        <f t="shared" si="2"/>
        <v>-81.231687301912331</v>
      </c>
      <c r="BA27" s="4">
        <f t="shared" si="2"/>
        <v>-2.542621993925728</v>
      </c>
      <c r="BB27" s="4">
        <f t="shared" si="2"/>
        <v>-0.13592295147618144</v>
      </c>
      <c r="BC27" s="4">
        <f t="shared" si="2"/>
        <v>-1.0750924297777874E-2</v>
      </c>
      <c r="BD27" s="4">
        <f t="shared" si="2"/>
        <v>-1.1469589569997594E-3</v>
      </c>
      <c r="BE27" s="4">
        <f t="shared" si="2"/>
        <v>-1.54937147716355E-4</v>
      </c>
    </row>
    <row r="28" spans="1:57" ht="12" customHeight="1" x14ac:dyDescent="0.2">
      <c r="A28" s="18">
        <v>20</v>
      </c>
      <c r="C28" s="11">
        <f>C27*(1-'Input&amp;Output'!$D$6/100)</f>
        <v>3.0301494283585182</v>
      </c>
      <c r="D28" s="11">
        <f>C28*'Input&amp;Output'!$D$7/1000</f>
        <v>4.5452241425377773</v>
      </c>
      <c r="F28" s="4">
        <f>'Input&amp;Output'!$D$30*C28</f>
        <v>60.602988567170364</v>
      </c>
      <c r="G28" s="4">
        <f>'Input&amp;Output'!$D$30*D28</f>
        <v>90.904482850755542</v>
      </c>
      <c r="H28" s="11"/>
      <c r="I28" s="4">
        <f t="shared" si="3"/>
        <v>151.5074714179259</v>
      </c>
      <c r="M28" s="4">
        <f>'Input&amp;Output'!$D$20*(1+('Input&amp;Output'!$G$20/100))^ROW(A20)</f>
        <v>1.4859473959783542</v>
      </c>
      <c r="N28" s="4">
        <f>'Input&amp;Output'!$D$21*(1+('Input&amp;Output'!$G$21/100))^ROW(A20)</f>
        <v>7.9598931154332622</v>
      </c>
      <c r="O28" s="4">
        <f>'Input&amp;Output'!$D$22*(1+('Input&amp;Output'!$G$22/100))^ROW(A20)</f>
        <v>16.035677361064241</v>
      </c>
      <c r="P28" s="4">
        <f>('Input&amp;Output'!$D$23*'Input&amp;Output'!$D$27*12/1000000)*(1+('Input&amp;Output'!$G$23/100))^ROW(A20)</f>
        <v>0.43926841438126812</v>
      </c>
      <c r="Q28" s="4">
        <f>('Input&amp;Output'!$D$24*'Input&amp;Output'!$D$27*365/1000000)*((1+('Input&amp;Output'!$G$24/100))^ROW(A20))</f>
        <v>14.733224889023084</v>
      </c>
      <c r="R28" s="4">
        <f>'Input&amp;Output'!$D$25*((1+('Input&amp;Output'!$G$25/100))^ROW(A20))</f>
        <v>7.739368924972359</v>
      </c>
      <c r="S28" s="11">
        <v>116.09053387458539</v>
      </c>
      <c r="T28" s="11"/>
      <c r="U28" s="11">
        <v>164.48391397543796</v>
      </c>
      <c r="W28" s="11">
        <v>68.867032462693601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4"/>
        <v>0</v>
      </c>
      <c r="AL28" s="4">
        <f>AK28*('Input&amp;Output'!$D$32/100)</f>
        <v>0</v>
      </c>
      <c r="AM28" s="18"/>
      <c r="AN28" s="5"/>
      <c r="AO28" s="11">
        <v>68.867032462693601</v>
      </c>
      <c r="AP28" s="11"/>
      <c r="AQ28" s="11">
        <v>164.48391397543796</v>
      </c>
      <c r="AR28" s="11">
        <v>0</v>
      </c>
      <c r="AS28" s="4">
        <f t="shared" si="0"/>
        <v>-95.616881512744357</v>
      </c>
      <c r="AU28" s="4">
        <f>AS28/(1+'Input&amp;Output'!$D$33/100)^A28</f>
        <v>-14.212840168408974</v>
      </c>
      <c r="AV28" s="14"/>
      <c r="AW28" s="4">
        <f t="shared" si="5"/>
        <v>-5.7771804670752545</v>
      </c>
      <c r="AX28" s="4">
        <f t="shared" si="1"/>
        <v>0</v>
      </c>
      <c r="AZ28" s="4">
        <f t="shared" si="2"/>
        <v>-95.616881512744357</v>
      </c>
      <c r="BA28" s="4">
        <f t="shared" si="2"/>
        <v>-2.4940758341969786</v>
      </c>
      <c r="BB28" s="4">
        <f t="shared" si="2"/>
        <v>-0.11428095521619874</v>
      </c>
      <c r="BC28" s="4">
        <f t="shared" si="2"/>
        <v>-7.9092430620121973E-3</v>
      </c>
      <c r="BD28" s="4">
        <f t="shared" si="2"/>
        <v>-7.500400831117885E-4</v>
      </c>
      <c r="BE28" s="4">
        <f t="shared" si="2"/>
        <v>-9.1187364113563878E-5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103.02716086118811</v>
      </c>
      <c r="D30" s="12">
        <f>SUM(D9:D29)</f>
        <v>154.54074129178215</v>
      </c>
      <c r="F30" s="12">
        <f>SUM(F9:F29)</f>
        <v>2060.5432172237615</v>
      </c>
      <c r="G30" s="12">
        <f>SUM(G9:G29)</f>
        <v>3090.8148258356428</v>
      </c>
      <c r="I30" s="12">
        <f>SUM(I9:I29)</f>
        <v>5151.3580430594047</v>
      </c>
      <c r="M30" s="12">
        <f t="shared" ref="M30:W30" si="6">SUM(M9:M29)</f>
        <v>24.783317194896075</v>
      </c>
      <c r="N30" s="12">
        <f t="shared" si="6"/>
        <v>104.15775542409848</v>
      </c>
      <c r="O30" s="12">
        <f t="shared" si="6"/>
        <v>194.9636333788014</v>
      </c>
      <c r="P30" s="12">
        <f t="shared" si="6"/>
        <v>8.0061098525080752</v>
      </c>
      <c r="Q30" s="12">
        <f t="shared" si="6"/>
        <v>137.97547377925386</v>
      </c>
      <c r="R30" s="12">
        <f t="shared" si="6"/>
        <v>87.730353567434619</v>
      </c>
      <c r="S30" s="12">
        <f t="shared" si="6"/>
        <v>1315.9553035115193</v>
      </c>
      <c r="U30" s="12">
        <f t="shared" si="6"/>
        <v>1873.5719467085121</v>
      </c>
      <c r="W30" s="12">
        <f t="shared" si="6"/>
        <v>2341.5263832088199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636.82904241845847</v>
      </c>
      <c r="AL30" s="12">
        <f>SUM(AL9:AL29)</f>
        <v>254.73161696738339</v>
      </c>
      <c r="AM30" s="19" t="s">
        <v>82</v>
      </c>
      <c r="AO30" s="12">
        <f>SUM(AO8:AO29)</f>
        <v>2341.5263832088199</v>
      </c>
      <c r="AP30" s="12">
        <f>SUM(AP8:AP29)</f>
        <v>219</v>
      </c>
      <c r="AQ30" s="12">
        <f>SUM(AQ8:AQ29)</f>
        <v>1873.5719467085121</v>
      </c>
      <c r="AR30" s="12">
        <f>SUM(AR8:AR29)</f>
        <v>254.73161696738339</v>
      </c>
      <c r="AS30" s="12">
        <f>SUM(AS8:AS29)</f>
        <v>-5.7771804670752545</v>
      </c>
      <c r="AU30" s="15">
        <f>SUM(AU8:AU29)</f>
        <v>107.72689985749345</v>
      </c>
      <c r="AX30" s="16">
        <f>SUM(AX8:AX29)</f>
        <v>2.6018165801844098</v>
      </c>
      <c r="AZ30" s="12">
        <f t="shared" ref="AZ30:BE30" si="7">SUM(AZ8:AZ29)</f>
        <v>-5.7771804670752545</v>
      </c>
      <c r="BA30" s="12">
        <f t="shared" si="7"/>
        <v>54.430300021017615</v>
      </c>
      <c r="BB30" s="12">
        <f t="shared" si="7"/>
        <v>-38.701213709779843</v>
      </c>
      <c r="BC30" s="12">
        <f t="shared" si="7"/>
        <v>-88.514818175403761</v>
      </c>
      <c r="BD30" s="12">
        <f t="shared" si="7"/>
        <v>-117.34972637957887</v>
      </c>
      <c r="BE30" s="12">
        <f t="shared" si="7"/>
        <v>-135.8779525549364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107.72689985749345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0.30189958055133115</v>
      </c>
    </row>
    <row r="34" spans="45:48" ht="12" customHeight="1" thickBot="1" x14ac:dyDescent="0.25">
      <c r="AS34" s="75" t="s">
        <v>136</v>
      </c>
      <c r="AT34" s="76"/>
      <c r="AU34" s="77">
        <f>AX30</f>
        <v>2.6018165801844098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0.49190365231732169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27F0-4290-4901-99CA-1401F0919DD8}">
  <dimension ref="A1:BM35"/>
  <sheetViews>
    <sheetView topLeftCell="K1" workbookViewId="0">
      <selection activeCell="BE11" sqref="BE11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>
        <f>'Input&amp;Output'!D20</f>
        <v>1</v>
      </c>
      <c r="N8" s="4">
        <f>'Input&amp;Output'!D21</f>
        <v>3</v>
      </c>
      <c r="O8" s="4">
        <f>'Input&amp;Output'!D22</f>
        <v>5</v>
      </c>
      <c r="P8" s="4">
        <f>'Input&amp;Output'!D23</f>
        <v>1000</v>
      </c>
      <c r="Q8" s="4">
        <f>'Input&amp;Output'!D24</f>
        <v>200</v>
      </c>
      <c r="R8" s="4">
        <f>'Input&amp;Output'!D25</f>
        <v>2</v>
      </c>
      <c r="S8" s="4">
        <f>'Input&amp;Output'!D10</f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 t="shared" ref="AZ8:BE8" si="0">$AS8/(1+AZ$5)^$A8</f>
        <v>-219</v>
      </c>
      <c r="BA8" s="4">
        <f t="shared" si="0"/>
        <v>-219</v>
      </c>
      <c r="BB8" s="4">
        <f t="shared" si="0"/>
        <v>-219</v>
      </c>
      <c r="BC8" s="4">
        <f t="shared" si="0"/>
        <v>-219</v>
      </c>
      <c r="BD8" s="4">
        <f t="shared" si="0"/>
        <v>-219</v>
      </c>
      <c r="BE8" s="4">
        <f t="shared" si="0"/>
        <v>-219</v>
      </c>
    </row>
    <row r="9" spans="1:65" ht="12" customHeight="1" x14ac:dyDescent="0.2">
      <c r="A9" s="8">
        <v>1</v>
      </c>
      <c r="C9" s="4">
        <f>'Input&amp;Output'!$D$5*365*(1+'Input&amp;Output'!C53/100)/1000</f>
        <v>6.57</v>
      </c>
      <c r="D9" s="4">
        <f>C9*'Input&amp;Output'!$D$7/1000</f>
        <v>9.8550000000000004</v>
      </c>
      <c r="F9" s="4">
        <f>'Input&amp;Output'!$D$30*C9</f>
        <v>131.4</v>
      </c>
      <c r="G9" s="4">
        <f>'Input&amp;Output'!$D$30*D9</f>
        <v>197.10000000000002</v>
      </c>
      <c r="I9" s="4">
        <f>F9+G9</f>
        <v>328.5</v>
      </c>
      <c r="M9" s="4">
        <f>'Input&amp;Output'!$D$20*(1+('Input&amp;Output'!$G$20/100))^ROW(A1)</f>
        <v>1.02</v>
      </c>
      <c r="N9" s="4">
        <f>'Input&amp;Output'!$D$21*(1+('Input&amp;Output'!$G$21/100))^ROW(A1)</f>
        <v>3.1500000000000004</v>
      </c>
      <c r="O9" s="4">
        <f>'Input&amp;Output'!$D$22*(1+('Input&amp;Output'!$G$22/100))^ROW(A1)</f>
        <v>5.3000000000000007</v>
      </c>
      <c r="P9" s="4">
        <f>('Input&amp;Output'!$D$23*'Input&amp;Output'!$D$27*12/1000000)*(1+('Input&amp;Output'!$G$23/100))^ROW(A1)</f>
        <v>0.36359999999999998</v>
      </c>
      <c r="Q9" s="4">
        <f>('Input&amp;Output'!$D$24*'Input&amp;Output'!$D$27*365/1000000)*((1+('Input&amp;Output'!$G$24/100))^ROW(A1))</f>
        <v>2.4090000000000003</v>
      </c>
      <c r="R9" s="4">
        <f>'Input&amp;Output'!$D$25*((1+('Input&amp;Output'!$G$25/100))^ROW(A1))</f>
        <v>2.14</v>
      </c>
      <c r="S9" s="4">
        <f>'Input&amp;Output'!$D$10*'Input&amp;Output'!$D$26*(1+('Input&amp;Output'!$G$26/100))^ROW(A1)</f>
        <v>32.1</v>
      </c>
      <c r="U9" s="4">
        <f>SUM(M9:S9)</f>
        <v>46.482600000000005</v>
      </c>
      <c r="W9" s="4">
        <f>I9</f>
        <v>328.5</v>
      </c>
      <c r="AG9" s="4">
        <f>IF(A9&lt;='Input&amp;Output'!$D$38,$K$8/'Input&amp;Output'!$D$38,0)</f>
        <v>21.9</v>
      </c>
      <c r="AH9" s="4">
        <f>U9</f>
        <v>46.482600000000005</v>
      </c>
      <c r="AK9" s="4">
        <f>MAX(0,W9-AH9-AG9)</f>
        <v>260.11740000000003</v>
      </c>
      <c r="AL9" s="4">
        <f>AK9*('Input&amp;Output'!$D$32/100)</f>
        <v>104.04696000000001</v>
      </c>
      <c r="AM9" s="8"/>
      <c r="AN9" s="5"/>
      <c r="AO9" s="4">
        <f>I9</f>
        <v>328.5</v>
      </c>
      <c r="AQ9" s="4">
        <f>U9</f>
        <v>46.482600000000005</v>
      </c>
      <c r="AR9" s="4">
        <f>AL9</f>
        <v>104.04696000000001</v>
      </c>
      <c r="AS9" s="4">
        <f t="shared" ref="AS9:AS28" si="1">AO9-AP9-AQ9-AR9</f>
        <v>177.97044</v>
      </c>
      <c r="AU9" s="4">
        <f>AS9/(1+'Input&amp;Output'!$D$33/100)^A9</f>
        <v>161.79130909090907</v>
      </c>
      <c r="AW9" s="4">
        <f>AW8+AS9</f>
        <v>-41.029560000000004</v>
      </c>
      <c r="AX9" s="4">
        <f t="shared" ref="AX9:AX28" si="2">IF(AND(AW9&gt;0,AW8&lt;0),A8+ABS(AW8/AS9),0)</f>
        <v>0</v>
      </c>
      <c r="AZ9" s="4">
        <f t="shared" ref="AZ9:BE28" si="3">$AS9/(1+AZ$5)^$A9</f>
        <v>177.97044</v>
      </c>
      <c r="BA9" s="4">
        <f t="shared" si="3"/>
        <v>148.30870000000002</v>
      </c>
      <c r="BB9" s="4">
        <f t="shared" si="3"/>
        <v>127.12174285714286</v>
      </c>
      <c r="BC9" s="4">
        <f t="shared" si="3"/>
        <v>111.23152499999999</v>
      </c>
      <c r="BD9" s="4">
        <f t="shared" si="3"/>
        <v>98.872466666666668</v>
      </c>
      <c r="BE9" s="4">
        <f t="shared" si="3"/>
        <v>88.985219999999998</v>
      </c>
    </row>
    <row r="10" spans="1:65" ht="12" customHeight="1" x14ac:dyDescent="0.2">
      <c r="A10" s="8">
        <v>2</v>
      </c>
      <c r="C10" s="4">
        <f>C9*(1-'Input&amp;Output'!$D$6/100)</f>
        <v>6.2415000000000003</v>
      </c>
      <c r="D10" s="4">
        <f>C10*'Input&amp;Output'!$D$7/1000</f>
        <v>9.3622499999999995</v>
      </c>
      <c r="F10" s="4">
        <f>'Input&amp;Output'!$D$30*C10</f>
        <v>124.83000000000001</v>
      </c>
      <c r="G10" s="4">
        <f>'Input&amp;Output'!$D$30*D10</f>
        <v>187.245</v>
      </c>
      <c r="I10" s="4">
        <f t="shared" ref="I10:I28" si="4">F10+G10</f>
        <v>312.07500000000005</v>
      </c>
      <c r="M10" s="4">
        <f>'Input&amp;Output'!$D$20*(1+('Input&amp;Output'!$G$20/100))^ROW(A2)</f>
        <v>1.0404</v>
      </c>
      <c r="N10" s="4">
        <f>'Input&amp;Output'!$D$21*(1+('Input&amp;Output'!$G$21/100))^ROW(A2)</f>
        <v>3.3075000000000001</v>
      </c>
      <c r="O10" s="4">
        <f>'Input&amp;Output'!$D$22*(1+('Input&amp;Output'!$G$22/100))^ROW(A2)</f>
        <v>5.6180000000000003</v>
      </c>
      <c r="P10" s="4">
        <f>('Input&amp;Output'!$D$23*'Input&amp;Output'!$D$27*12/1000000)*(1+('Input&amp;Output'!$G$23/100))^ROW(A2)</f>
        <v>0.36723600000000001</v>
      </c>
      <c r="Q10" s="4">
        <f>('Input&amp;Output'!$D$24*'Input&amp;Output'!$D$27*365/1000000)*((1+('Input&amp;Output'!$G$24/100))^ROW(A2))</f>
        <v>2.6499000000000001</v>
      </c>
      <c r="R10" s="4">
        <f>'Input&amp;Output'!$D$25*((1+('Input&amp;Output'!$G$25/100))^ROW(A2))</f>
        <v>2.2898000000000001</v>
      </c>
      <c r="S10" s="4">
        <f>'Input&amp;Output'!$D$10*'Input&amp;Output'!$D$26*(1+('Input&amp;Output'!$G$26/100))^ROW(A2)</f>
        <v>34.347000000000001</v>
      </c>
      <c r="U10" s="4">
        <f t="shared" ref="U10:U28" si="5">SUM(M10:S10)</f>
        <v>49.619836000000006</v>
      </c>
      <c r="W10" s="4">
        <f t="shared" ref="W10:W28" si="6">I10</f>
        <v>312.07500000000005</v>
      </c>
      <c r="AG10" s="4">
        <f>IF(A10&lt;='Input&amp;Output'!$D$38,$K$8/'Input&amp;Output'!$D$38,0)</f>
        <v>21.9</v>
      </c>
      <c r="AH10" s="4">
        <f t="shared" ref="AH10:AH28" si="7">U10</f>
        <v>49.619836000000006</v>
      </c>
      <c r="AK10" s="4">
        <f t="shared" ref="AK10:AK28" si="8">MAX(0,W10-AH10-AG10)</f>
        <v>240.55516400000002</v>
      </c>
      <c r="AL10" s="4">
        <f>AK10*('Input&amp;Output'!$D$32/100)</f>
        <v>96.222065600000008</v>
      </c>
      <c r="AM10" s="8"/>
      <c r="AN10" s="5"/>
      <c r="AO10" s="4">
        <f t="shared" ref="AO10:AO28" si="9">I10</f>
        <v>312.07500000000005</v>
      </c>
      <c r="AQ10" s="4">
        <f t="shared" ref="AQ10:AQ28" si="10">U10</f>
        <v>49.619836000000006</v>
      </c>
      <c r="AR10" s="4">
        <f t="shared" ref="AR10:AR28" si="11">AL10</f>
        <v>96.222065600000008</v>
      </c>
      <c r="AS10" s="4">
        <f t="shared" si="1"/>
        <v>166.23309840000002</v>
      </c>
      <c r="AU10" s="4">
        <f>AS10/(1+'Input&amp;Output'!$D$33/100)^A10</f>
        <v>137.3827259504132</v>
      </c>
      <c r="AW10" s="4">
        <f t="shared" ref="AW10:AW28" si="12">AW9+AS10</f>
        <v>125.20353840000001</v>
      </c>
      <c r="AX10" s="4">
        <f t="shared" si="2"/>
        <v>1.2468194384566678</v>
      </c>
      <c r="AZ10" s="4">
        <f t="shared" si="3"/>
        <v>166.23309840000002</v>
      </c>
      <c r="BA10" s="4">
        <f t="shared" si="3"/>
        <v>115.43965166666668</v>
      </c>
      <c r="BB10" s="4">
        <f t="shared" si="3"/>
        <v>84.81280530612247</v>
      </c>
      <c r="BC10" s="4">
        <f t="shared" si="3"/>
        <v>64.934804062499992</v>
      </c>
      <c r="BD10" s="4">
        <f t="shared" si="3"/>
        <v>51.306511851851852</v>
      </c>
      <c r="BE10" s="4">
        <f t="shared" si="3"/>
        <v>41.558274600000004</v>
      </c>
    </row>
    <row r="11" spans="1:65" ht="12" customHeight="1" x14ac:dyDescent="0.2">
      <c r="A11" s="8">
        <v>3</v>
      </c>
      <c r="C11" s="4">
        <f>C10*(1-'Input&amp;Output'!$D$6/100)</f>
        <v>5.9294250000000002</v>
      </c>
      <c r="D11" s="4">
        <f>C11*'Input&amp;Output'!$D$7/1000</f>
        <v>8.8941375000000011</v>
      </c>
      <c r="F11" s="4">
        <f>'Input&amp;Output'!$D$30*C11</f>
        <v>118.58850000000001</v>
      </c>
      <c r="G11" s="4">
        <f>'Input&amp;Output'!$D$30*D11</f>
        <v>177.88275000000002</v>
      </c>
      <c r="I11" s="4">
        <f t="shared" si="4"/>
        <v>296.47125000000005</v>
      </c>
      <c r="M11" s="4">
        <f>'Input&amp;Output'!$D$20*(1+('Input&amp;Output'!$G$20/100))^ROW(A3)</f>
        <v>1.0612079999999999</v>
      </c>
      <c r="N11" s="4">
        <f>'Input&amp;Output'!$D$21*(1+('Input&amp;Output'!$G$21/100))^ROW(A3)</f>
        <v>3.4728750000000002</v>
      </c>
      <c r="O11" s="4">
        <f>'Input&amp;Output'!$D$22*(1+('Input&amp;Output'!$G$22/100))^ROW(A3)</f>
        <v>5.9550800000000015</v>
      </c>
      <c r="P11" s="4">
        <f>('Input&amp;Output'!$D$23*'Input&amp;Output'!$D$27*12/1000000)*(1+('Input&amp;Output'!$G$23/100))^ROW(A3)</f>
        <v>0.37090835999999994</v>
      </c>
      <c r="Q11" s="4">
        <f>('Input&amp;Output'!$D$24*'Input&amp;Output'!$D$27*365/1000000)*((1+('Input&amp;Output'!$G$24/100))^ROW(A3))</f>
        <v>2.9148900000000006</v>
      </c>
      <c r="R11" s="4">
        <f>'Input&amp;Output'!$D$25*((1+('Input&amp;Output'!$G$25/100))^ROW(A3))</f>
        <v>2.4500860000000002</v>
      </c>
      <c r="S11" s="4">
        <f>'Input&amp;Output'!$D$10*'Input&amp;Output'!$D$26*(1+('Input&amp;Output'!$G$26/100))^ROW(A3)</f>
        <v>36.751290000000004</v>
      </c>
      <c r="U11" s="4">
        <f t="shared" si="5"/>
        <v>52.976337360000002</v>
      </c>
      <c r="W11" s="4">
        <f t="shared" si="6"/>
        <v>296.47125000000005</v>
      </c>
      <c r="AG11" s="4">
        <f>IF(A11&lt;='Input&amp;Output'!$D$38,$K$8/'Input&amp;Output'!$D$38,0)</f>
        <v>21.9</v>
      </c>
      <c r="AH11" s="4">
        <f t="shared" si="7"/>
        <v>52.976337360000002</v>
      </c>
      <c r="AK11" s="4">
        <f t="shared" si="8"/>
        <v>221.59491264000005</v>
      </c>
      <c r="AL11" s="4">
        <f>AK11*('Input&amp;Output'!$D$32/100)</f>
        <v>88.637965056000027</v>
      </c>
      <c r="AM11" s="8"/>
      <c r="AN11" s="5"/>
      <c r="AO11" s="4">
        <f t="shared" si="9"/>
        <v>296.47125000000005</v>
      </c>
      <c r="AQ11" s="4">
        <f t="shared" si="10"/>
        <v>52.976337360000002</v>
      </c>
      <c r="AR11" s="4">
        <f t="shared" si="11"/>
        <v>88.637965056000027</v>
      </c>
      <c r="AS11" s="4">
        <f t="shared" si="1"/>
        <v>154.85694758400001</v>
      </c>
      <c r="AU11" s="4">
        <f>AS11/(1+'Input&amp;Output'!$D$33/100)^A11</f>
        <v>116.346316742299</v>
      </c>
      <c r="AW11" s="4">
        <f t="shared" si="12"/>
        <v>280.06048598400002</v>
      </c>
      <c r="AX11" s="4">
        <f t="shared" si="2"/>
        <v>0</v>
      </c>
      <c r="AZ11" s="4">
        <f t="shared" si="3"/>
        <v>154.85694758400001</v>
      </c>
      <c r="BA11" s="4">
        <f t="shared" si="3"/>
        <v>89.616289111111115</v>
      </c>
      <c r="BB11" s="4">
        <f t="shared" si="3"/>
        <v>56.434747661807599</v>
      </c>
      <c r="BC11" s="4">
        <f t="shared" si="3"/>
        <v>37.806871968749995</v>
      </c>
      <c r="BD11" s="4">
        <f t="shared" si="3"/>
        <v>26.552974551440329</v>
      </c>
      <c r="BE11" s="4">
        <f t="shared" si="3"/>
        <v>19.357118448000001</v>
      </c>
    </row>
    <row r="12" spans="1:65" ht="12" customHeight="1" x14ac:dyDescent="0.2">
      <c r="A12" s="8">
        <v>4</v>
      </c>
      <c r="C12" s="4">
        <f>C11*(1-'Input&amp;Output'!$D$6/100)</f>
        <v>5.6329537499999995</v>
      </c>
      <c r="D12" s="4">
        <f>C12*'Input&amp;Output'!$D$7/1000</f>
        <v>8.4494306249999998</v>
      </c>
      <c r="F12" s="4">
        <f>'Input&amp;Output'!$D$30*C12</f>
        <v>112.65907499999999</v>
      </c>
      <c r="G12" s="4">
        <f>'Input&amp;Output'!$D$30*D12</f>
        <v>168.98861249999999</v>
      </c>
      <c r="I12" s="4">
        <f t="shared" si="4"/>
        <v>281.64768749999996</v>
      </c>
      <c r="M12" s="4">
        <f>'Input&amp;Output'!$D$20*(1+('Input&amp;Output'!$G$20/100))^ROW(A4)</f>
        <v>1.08243216</v>
      </c>
      <c r="N12" s="4">
        <f>'Input&amp;Output'!$D$21*(1+('Input&amp;Output'!$G$21/100))^ROW(A4)</f>
        <v>3.6465187500000003</v>
      </c>
      <c r="O12" s="4">
        <f>'Input&amp;Output'!$D$22*(1+('Input&amp;Output'!$G$22/100))^ROW(A4)</f>
        <v>6.312384800000002</v>
      </c>
      <c r="P12" s="4">
        <f>('Input&amp;Output'!$D$23*'Input&amp;Output'!$D$27*12/1000000)*(1+('Input&amp;Output'!$G$23/100))^ROW(A4)</f>
        <v>0.37461744359999999</v>
      </c>
      <c r="Q12" s="4">
        <f>('Input&amp;Output'!$D$24*'Input&amp;Output'!$D$27*365/1000000)*((1+('Input&amp;Output'!$G$24/100))^ROW(A4))</f>
        <v>3.206379000000001</v>
      </c>
      <c r="R12" s="4">
        <f>'Input&amp;Output'!$D$25*((1+('Input&amp;Output'!$G$25/100))^ROW(A4))</f>
        <v>2.62159202</v>
      </c>
      <c r="S12" s="4">
        <f>'Input&amp;Output'!$D$10*'Input&amp;Output'!$D$26*(1+('Input&amp;Output'!$G$26/100))^ROW(A4)</f>
        <v>39.323880299999999</v>
      </c>
      <c r="U12" s="4">
        <f t="shared" si="5"/>
        <v>56.567804473600006</v>
      </c>
      <c r="W12" s="4">
        <f t="shared" si="6"/>
        <v>281.64768749999996</v>
      </c>
      <c r="AG12" s="4">
        <f>IF(A12&lt;='Input&amp;Output'!$D$38,$K$8/'Input&amp;Output'!$D$38,0)</f>
        <v>21.9</v>
      </c>
      <c r="AH12" s="4">
        <f t="shared" si="7"/>
        <v>56.567804473600006</v>
      </c>
      <c r="AK12" s="4">
        <f t="shared" si="8"/>
        <v>203.17988302639995</v>
      </c>
      <c r="AL12" s="4">
        <f>AK12*('Input&amp;Output'!$D$32/100)</f>
        <v>81.271953210559985</v>
      </c>
      <c r="AM12" s="8"/>
      <c r="AN12" s="5"/>
      <c r="AO12" s="4">
        <f t="shared" si="9"/>
        <v>281.64768749999996</v>
      </c>
      <c r="AQ12" s="4">
        <f t="shared" si="10"/>
        <v>56.567804473600006</v>
      </c>
      <c r="AR12" s="4">
        <f t="shared" si="11"/>
        <v>81.271953210559985</v>
      </c>
      <c r="AS12" s="4">
        <f t="shared" si="1"/>
        <v>143.80792981583997</v>
      </c>
      <c r="AU12" s="4">
        <f>AS12/(1+'Input&amp;Output'!$D$33/100)^A12</f>
        <v>98.222751052414409</v>
      </c>
      <c r="AW12" s="4">
        <f t="shared" si="12"/>
        <v>423.86841579984002</v>
      </c>
      <c r="AX12" s="4">
        <f t="shared" si="2"/>
        <v>0</v>
      </c>
      <c r="AZ12" s="4">
        <f t="shared" si="3"/>
        <v>143.80792981583997</v>
      </c>
      <c r="BA12" s="4">
        <f t="shared" si="3"/>
        <v>69.351818005324063</v>
      </c>
      <c r="BB12" s="4">
        <f t="shared" si="3"/>
        <v>37.434384062848814</v>
      </c>
      <c r="BC12" s="4">
        <f t="shared" si="3"/>
        <v>21.943348665747056</v>
      </c>
      <c r="BD12" s="4">
        <f t="shared" si="3"/>
        <v>13.69912454426154</v>
      </c>
      <c r="BE12" s="4">
        <f t="shared" si="3"/>
        <v>8.9879956134899981</v>
      </c>
    </row>
    <row r="13" spans="1:65" ht="12" customHeight="1" x14ac:dyDescent="0.2">
      <c r="A13" s="8">
        <v>5</v>
      </c>
      <c r="C13" s="4">
        <f>C12*(1-'Input&amp;Output'!$D$6/100)</f>
        <v>5.3513060624999991</v>
      </c>
      <c r="D13" s="4">
        <f>C13*'Input&amp;Output'!$D$7/1000</f>
        <v>8.0269590937499995</v>
      </c>
      <c r="F13" s="4">
        <f>'Input&amp;Output'!$D$30*C13</f>
        <v>107.02612124999999</v>
      </c>
      <c r="G13" s="4">
        <f>'Input&amp;Output'!$D$30*D13</f>
        <v>160.539181875</v>
      </c>
      <c r="I13" s="4">
        <f t="shared" si="4"/>
        <v>267.56530312500001</v>
      </c>
      <c r="M13" s="4">
        <f>'Input&amp;Output'!$D$20*(1+('Input&amp;Output'!$G$20/100))^ROW(A5)</f>
        <v>1.1040808032</v>
      </c>
      <c r="N13" s="4">
        <f>'Input&amp;Output'!$D$21*(1+('Input&amp;Output'!$G$21/100))^ROW(A5)</f>
        <v>3.8288446875000002</v>
      </c>
      <c r="O13" s="4">
        <f>'Input&amp;Output'!$D$22*(1+('Input&amp;Output'!$G$22/100))^ROW(A5)</f>
        <v>6.6911278880000022</v>
      </c>
      <c r="P13" s="4">
        <f>('Input&amp;Output'!$D$23*'Input&amp;Output'!$D$27*12/1000000)*(1+('Input&amp;Output'!$G$23/100))^ROW(A5)</f>
        <v>0.37836361803599994</v>
      </c>
      <c r="Q13" s="4">
        <f>('Input&amp;Output'!$D$24*'Input&amp;Output'!$D$27*365/1000000)*((1+('Input&amp;Output'!$G$24/100))^ROW(A5))</f>
        <v>3.5270169000000013</v>
      </c>
      <c r="R13" s="4">
        <f>'Input&amp;Output'!$D$25*((1+('Input&amp;Output'!$G$25/100))^ROW(A5))</f>
        <v>2.8051034614000003</v>
      </c>
      <c r="S13" s="4">
        <f>'Input&amp;Output'!$D$10*'Input&amp;Output'!$D$26*(1+('Input&amp;Output'!$G$26/100))^ROW(A5)</f>
        <v>42.076551921000004</v>
      </c>
      <c r="U13" s="4">
        <f t="shared" si="5"/>
        <v>60.411089279136007</v>
      </c>
      <c r="W13" s="4">
        <f t="shared" si="6"/>
        <v>267.56530312500001</v>
      </c>
      <c r="AG13" s="4">
        <f>IF(A13&lt;='Input&amp;Output'!$D$38,$K$8/'Input&amp;Output'!$D$38,0)</f>
        <v>21.9</v>
      </c>
      <c r="AH13" s="4">
        <f t="shared" si="7"/>
        <v>60.411089279136007</v>
      </c>
      <c r="AK13" s="4">
        <f t="shared" si="8"/>
        <v>185.254213845864</v>
      </c>
      <c r="AL13" s="4">
        <f>AK13*('Input&amp;Output'!$D$32/100)</f>
        <v>74.101685538345606</v>
      </c>
      <c r="AM13" s="8"/>
      <c r="AN13" s="5"/>
      <c r="AO13" s="4">
        <f t="shared" si="9"/>
        <v>267.56530312500001</v>
      </c>
      <c r="AQ13" s="4">
        <f t="shared" si="10"/>
        <v>60.411089279136007</v>
      </c>
      <c r="AR13" s="4">
        <f t="shared" si="11"/>
        <v>74.101685538345606</v>
      </c>
      <c r="AS13" s="4">
        <f t="shared" si="1"/>
        <v>133.0525283075184</v>
      </c>
      <c r="AU13" s="4">
        <f>AS13/(1+'Input&amp;Output'!$D$33/100)^A13</f>
        <v>82.615151913069994</v>
      </c>
      <c r="AW13" s="4">
        <f t="shared" si="12"/>
        <v>556.92094410735842</v>
      </c>
      <c r="AX13" s="4">
        <f t="shared" si="2"/>
        <v>0</v>
      </c>
      <c r="AZ13" s="4">
        <f t="shared" si="3"/>
        <v>133.0525283075184</v>
      </c>
      <c r="BA13" s="4">
        <f t="shared" si="3"/>
        <v>53.470827026876933</v>
      </c>
      <c r="BB13" s="4">
        <f t="shared" si="3"/>
        <v>24.73904628791546</v>
      </c>
      <c r="BC13" s="4">
        <f t="shared" si="3"/>
        <v>12.688877897979577</v>
      </c>
      <c r="BD13" s="4">
        <f t="shared" si="3"/>
        <v>7.0414257813171242</v>
      </c>
      <c r="BE13" s="4">
        <f t="shared" si="3"/>
        <v>4.15789150960995</v>
      </c>
    </row>
    <row r="14" spans="1:65" ht="12" customHeight="1" x14ac:dyDescent="0.2">
      <c r="A14" s="8">
        <v>6</v>
      </c>
      <c r="C14" s="4">
        <f>C13*(1-'Input&amp;Output'!$D$6/100)</f>
        <v>5.083740759374999</v>
      </c>
      <c r="D14" s="4">
        <f>C14*'Input&amp;Output'!$D$7/1000</f>
        <v>7.6256111390624985</v>
      </c>
      <c r="F14" s="4">
        <f>'Input&amp;Output'!$D$30*C14</f>
        <v>101.67481518749997</v>
      </c>
      <c r="G14" s="4">
        <f>'Input&amp;Output'!$D$30*D14</f>
        <v>152.51222278124996</v>
      </c>
      <c r="I14" s="4">
        <f t="shared" si="4"/>
        <v>254.18703796874993</v>
      </c>
      <c r="M14" s="4">
        <f>'Input&amp;Output'!$D$20*(1+('Input&amp;Output'!$G$20/100))^ROW(A6)</f>
        <v>1.1261624192640001</v>
      </c>
      <c r="N14" s="4">
        <f>'Input&amp;Output'!$D$21*(1+('Input&amp;Output'!$G$21/100))^ROW(A6)</f>
        <v>4.0202869218749999</v>
      </c>
      <c r="O14" s="4">
        <f>'Input&amp;Output'!$D$22*(1+('Input&amp;Output'!$G$22/100))^ROW(A6)</f>
        <v>7.0925955612800031</v>
      </c>
      <c r="P14" s="4">
        <f>('Input&amp;Output'!$D$23*'Input&amp;Output'!$D$27*12/1000000)*(1+('Input&amp;Output'!$G$23/100))^ROW(A6)</f>
        <v>0.38214725421636003</v>
      </c>
      <c r="Q14" s="4">
        <f>('Input&amp;Output'!$D$24*'Input&amp;Output'!$D$27*365/1000000)*((1+('Input&amp;Output'!$G$24/100))^ROW(A6))</f>
        <v>3.8797185900000017</v>
      </c>
      <c r="R14" s="4">
        <f>'Input&amp;Output'!$D$25*((1+('Input&amp;Output'!$G$25/100))^ROW(A6))</f>
        <v>3.0014607036980001</v>
      </c>
      <c r="S14" s="4">
        <f>'Input&amp;Output'!$D$10*'Input&amp;Output'!$D$26*(1+('Input&amp;Output'!$G$26/100))^ROW(A6)</f>
        <v>45.021910555470001</v>
      </c>
      <c r="U14" s="4">
        <f t="shared" si="5"/>
        <v>64.524282005803371</v>
      </c>
      <c r="W14" s="4">
        <f t="shared" si="6"/>
        <v>254.18703796874993</v>
      </c>
      <c r="AG14" s="4">
        <f>IF(A14&lt;='Input&amp;Output'!$D$38,$K$8/'Input&amp;Output'!$D$38,0)</f>
        <v>21.9</v>
      </c>
      <c r="AH14" s="4">
        <f t="shared" si="7"/>
        <v>64.524282005803371</v>
      </c>
      <c r="AK14" s="4">
        <f t="shared" si="8"/>
        <v>167.76275596294656</v>
      </c>
      <c r="AL14" s="4">
        <f>AK14*('Input&amp;Output'!$D$32/100)</f>
        <v>67.105102385178625</v>
      </c>
      <c r="AM14" s="8"/>
      <c r="AN14" s="5"/>
      <c r="AO14" s="4">
        <f t="shared" si="9"/>
        <v>254.18703796874993</v>
      </c>
      <c r="AQ14" s="4">
        <f t="shared" si="10"/>
        <v>64.524282005803371</v>
      </c>
      <c r="AR14" s="4">
        <f t="shared" si="11"/>
        <v>67.105102385178625</v>
      </c>
      <c r="AS14" s="4">
        <f t="shared" si="1"/>
        <v>122.55765357776794</v>
      </c>
      <c r="AU14" s="4">
        <f>AS14/(1+'Input&amp;Output'!$D$33/100)^A14</f>
        <v>69.18060037321203</v>
      </c>
      <c r="AW14" s="4">
        <f t="shared" si="12"/>
        <v>679.47859768512637</v>
      </c>
      <c r="AX14" s="4">
        <f t="shared" si="2"/>
        <v>0</v>
      </c>
      <c r="AZ14" s="4">
        <f t="shared" si="3"/>
        <v>122.55765357776794</v>
      </c>
      <c r="BA14" s="4">
        <f t="shared" si="3"/>
        <v>41.044310209889922</v>
      </c>
      <c r="BB14" s="4">
        <f t="shared" si="3"/>
        <v>16.276919796620668</v>
      </c>
      <c r="BC14" s="4">
        <f t="shared" si="3"/>
        <v>7.3050054060082354</v>
      </c>
      <c r="BD14" s="4">
        <f t="shared" si="3"/>
        <v>3.6033413627338189</v>
      </c>
      <c r="BE14" s="4">
        <f t="shared" si="3"/>
        <v>1.914963337152624</v>
      </c>
    </row>
    <row r="15" spans="1:65" ht="12" customHeight="1" x14ac:dyDescent="0.2">
      <c r="A15" s="8">
        <v>7</v>
      </c>
      <c r="C15" s="4">
        <f>C14*(1-'Input&amp;Output'!$D$6/100)</f>
        <v>4.8295537214062492</v>
      </c>
      <c r="D15" s="4">
        <f>C15*'Input&amp;Output'!$D$7/1000</f>
        <v>7.2443305821093738</v>
      </c>
      <c r="F15" s="4">
        <f>'Input&amp;Output'!$D$30*C15</f>
        <v>96.591074428124983</v>
      </c>
      <c r="G15" s="4">
        <f>'Input&amp;Output'!$D$30*D15</f>
        <v>144.88661164218746</v>
      </c>
      <c r="I15" s="4">
        <f t="shared" si="4"/>
        <v>241.47768607031244</v>
      </c>
      <c r="M15" s="4">
        <f>'Input&amp;Output'!$D$20*(1+('Input&amp;Output'!$G$20/100))^ROW(A7)</f>
        <v>1.1486856676492798</v>
      </c>
      <c r="N15" s="4">
        <f>'Input&amp;Output'!$D$21*(1+('Input&amp;Output'!$G$21/100))^ROW(A7)</f>
        <v>4.2213012679687507</v>
      </c>
      <c r="O15" s="4">
        <f>'Input&amp;Output'!$D$22*(1+('Input&amp;Output'!$G$22/100))^ROW(A7)</f>
        <v>7.5181512949568043</v>
      </c>
      <c r="P15" s="4">
        <f>('Input&amp;Output'!$D$23*'Input&amp;Output'!$D$27*12/1000000)*(1+('Input&amp;Output'!$G$23/100))^ROW(A7)</f>
        <v>0.38596872675852351</v>
      </c>
      <c r="Q15" s="4">
        <f>('Input&amp;Output'!$D$24*'Input&amp;Output'!$D$27*365/1000000)*((1+('Input&amp;Output'!$G$24/100))^ROW(A7))</f>
        <v>4.2676904490000025</v>
      </c>
      <c r="R15" s="4">
        <f>'Input&amp;Output'!$D$25*((1+('Input&amp;Output'!$G$25/100))^ROW(A7))</f>
        <v>3.2115629529568603</v>
      </c>
      <c r="S15" s="4">
        <f>'Input&amp;Output'!$D$10*'Input&amp;Output'!$D$26*(1+('Input&amp;Output'!$G$26/100))^ROW(A7)</f>
        <v>48.173444294352905</v>
      </c>
      <c r="U15" s="4">
        <f t="shared" si="5"/>
        <v>68.926804653643131</v>
      </c>
      <c r="W15" s="4">
        <f t="shared" si="6"/>
        <v>241.47768607031244</v>
      </c>
      <c r="AG15" s="4">
        <f>IF(A15&lt;='Input&amp;Output'!$D$38,$K$8/'Input&amp;Output'!$D$38,0)</f>
        <v>21.9</v>
      </c>
      <c r="AH15" s="4">
        <f t="shared" si="7"/>
        <v>68.926804653643131</v>
      </c>
      <c r="AK15" s="4">
        <f t="shared" si="8"/>
        <v>150.65088141666931</v>
      </c>
      <c r="AL15" s="4">
        <f>AK15*('Input&amp;Output'!$D$32/100)</f>
        <v>60.260352566667727</v>
      </c>
      <c r="AM15" s="8"/>
      <c r="AN15" s="5"/>
      <c r="AO15" s="4">
        <f t="shared" si="9"/>
        <v>241.47768607031244</v>
      </c>
      <c r="AQ15" s="4">
        <f t="shared" si="10"/>
        <v>68.926804653643131</v>
      </c>
      <c r="AR15" s="4">
        <f t="shared" si="11"/>
        <v>60.260352566667727</v>
      </c>
      <c r="AS15" s="4">
        <f t="shared" si="1"/>
        <v>112.29052885000158</v>
      </c>
      <c r="AU15" s="4">
        <f>AS15/(1+'Input&amp;Output'!$D$33/100)^A15</f>
        <v>57.622796479797664</v>
      </c>
      <c r="AW15" s="4">
        <f t="shared" si="12"/>
        <v>791.76912653512795</v>
      </c>
      <c r="AX15" s="4">
        <f t="shared" si="2"/>
        <v>0</v>
      </c>
      <c r="AZ15" s="4">
        <f t="shared" si="3"/>
        <v>112.29052885000158</v>
      </c>
      <c r="BA15" s="4">
        <f t="shared" si="3"/>
        <v>31.338225760196526</v>
      </c>
      <c r="BB15" s="4">
        <f t="shared" si="3"/>
        <v>10.652385566274473</v>
      </c>
      <c r="BC15" s="4">
        <f t="shared" si="3"/>
        <v>4.1831481773406827</v>
      </c>
      <c r="BD15" s="4">
        <f t="shared" si="3"/>
        <v>1.8341531309122787</v>
      </c>
      <c r="BE15" s="4">
        <f t="shared" si="3"/>
        <v>0.87726975664063733</v>
      </c>
    </row>
    <row r="16" spans="1:65" ht="12" customHeight="1" x14ac:dyDescent="0.2">
      <c r="A16" s="8">
        <v>8</v>
      </c>
      <c r="C16" s="4">
        <f>C15*(1-'Input&amp;Output'!$D$6/100)</f>
        <v>4.5880760353359369</v>
      </c>
      <c r="D16" s="4">
        <f>C16*'Input&amp;Output'!$D$7/1000</f>
        <v>6.8821140530039058</v>
      </c>
      <c r="F16" s="4">
        <f>'Input&amp;Output'!$D$30*C16</f>
        <v>91.761520706718741</v>
      </c>
      <c r="G16" s="4">
        <f>'Input&amp;Output'!$D$30*D16</f>
        <v>137.64228106007812</v>
      </c>
      <c r="I16" s="4">
        <f t="shared" si="4"/>
        <v>229.40380176679685</v>
      </c>
      <c r="M16" s="4">
        <f>'Input&amp;Output'!$D$20*(1+('Input&amp;Output'!$G$20/100))^ROW(A8)</f>
        <v>1.1716593810022655</v>
      </c>
      <c r="N16" s="4">
        <f>'Input&amp;Output'!$D$21*(1+('Input&amp;Output'!$G$21/100))^ROW(A8)</f>
        <v>4.4323663313671879</v>
      </c>
      <c r="O16" s="4">
        <f>'Input&amp;Output'!$D$22*(1+('Input&amp;Output'!$G$22/100))^ROW(A8)</f>
        <v>7.9692403726542116</v>
      </c>
      <c r="P16" s="4">
        <f>('Input&amp;Output'!$D$23*'Input&amp;Output'!$D$27*12/1000000)*(1+('Input&amp;Output'!$G$23/100))^ROW(A8)</f>
        <v>0.38982841402610885</v>
      </c>
      <c r="Q16" s="4">
        <f>('Input&amp;Output'!$D$24*'Input&amp;Output'!$D$27*365/1000000)*((1+('Input&amp;Output'!$G$24/100))^ROW(A8))</f>
        <v>4.6944594939000019</v>
      </c>
      <c r="R16" s="4">
        <f>'Input&amp;Output'!$D$25*((1+('Input&amp;Output'!$G$25/100))^ROW(A8))</f>
        <v>3.4363723596638405</v>
      </c>
      <c r="S16" s="4">
        <f>'Input&amp;Output'!$D$10*'Input&amp;Output'!$D$26*(1+('Input&amp;Output'!$G$26/100))^ROW(A8)</f>
        <v>51.545585394957605</v>
      </c>
      <c r="U16" s="4">
        <f t="shared" si="5"/>
        <v>73.63951174757122</v>
      </c>
      <c r="W16" s="4">
        <f t="shared" si="6"/>
        <v>229.40380176679685</v>
      </c>
      <c r="AG16" s="4">
        <f>IF(A16&lt;='Input&amp;Output'!$D$38,$K$8/'Input&amp;Output'!$D$38,0)</f>
        <v>21.9</v>
      </c>
      <c r="AH16" s="4">
        <f t="shared" si="7"/>
        <v>73.63951174757122</v>
      </c>
      <c r="AK16" s="4">
        <f t="shared" si="8"/>
        <v>133.86429001922562</v>
      </c>
      <c r="AL16" s="4">
        <f>AK16*('Input&amp;Output'!$D$32/100)</f>
        <v>53.545716007690253</v>
      </c>
      <c r="AM16" s="8"/>
      <c r="AN16" s="5"/>
      <c r="AO16" s="4">
        <f t="shared" si="9"/>
        <v>229.40380176679685</v>
      </c>
      <c r="AQ16" s="4">
        <f t="shared" si="10"/>
        <v>73.63951174757122</v>
      </c>
      <c r="AR16" s="4">
        <f t="shared" si="11"/>
        <v>53.545716007690253</v>
      </c>
      <c r="AS16" s="4">
        <f t="shared" si="1"/>
        <v>102.21857401153537</v>
      </c>
      <c r="AU16" s="4">
        <f>AS16/(1+'Input&amp;Output'!$D$33/100)^A16</f>
        <v>47.685719170896078</v>
      </c>
      <c r="AW16" s="4">
        <f t="shared" si="12"/>
        <v>893.98770054666329</v>
      </c>
      <c r="AX16" s="4">
        <f t="shared" si="2"/>
        <v>0</v>
      </c>
      <c r="AZ16" s="4">
        <f t="shared" si="3"/>
        <v>102.21857401153537</v>
      </c>
      <c r="BA16" s="4">
        <f t="shared" si="3"/>
        <v>23.772773344178674</v>
      </c>
      <c r="BB16" s="4">
        <f t="shared" si="3"/>
        <v>6.9263675317250373</v>
      </c>
      <c r="BC16" s="4">
        <f t="shared" si="3"/>
        <v>2.379961638048647</v>
      </c>
      <c r="BD16" s="4">
        <f t="shared" si="3"/>
        <v>0.9275765852933604</v>
      </c>
      <c r="BE16" s="4">
        <f t="shared" si="3"/>
        <v>0.39929130473256003</v>
      </c>
    </row>
    <row r="17" spans="1:57" ht="12" customHeight="1" x14ac:dyDescent="0.2">
      <c r="A17" s="8">
        <v>9</v>
      </c>
      <c r="C17" s="4">
        <f>C16*(1-'Input&amp;Output'!$D$6/100)</f>
        <v>4.3586722335691395</v>
      </c>
      <c r="D17" s="4">
        <f>C17*'Input&amp;Output'!$D$7/1000</f>
        <v>6.5380083503537092</v>
      </c>
      <c r="F17" s="4">
        <f>'Input&amp;Output'!$D$30*C17</f>
        <v>87.173444671382782</v>
      </c>
      <c r="G17" s="4">
        <f>'Input&amp;Output'!$D$30*D17</f>
        <v>130.76016700707419</v>
      </c>
      <c r="I17" s="4">
        <f t="shared" si="4"/>
        <v>217.93361167845697</v>
      </c>
      <c r="M17" s="4">
        <f>'Input&amp;Output'!$D$20*(1+('Input&amp;Output'!$G$20/100))^ROW(A9)</f>
        <v>1.1950925686223108</v>
      </c>
      <c r="N17" s="4">
        <f>'Input&amp;Output'!$D$21*(1+('Input&amp;Output'!$G$21/100))^ROW(A9)</f>
        <v>4.6539846479355473</v>
      </c>
      <c r="O17" s="4">
        <f>'Input&amp;Output'!$D$22*(1+('Input&amp;Output'!$G$22/100))^ROW(A9)</f>
        <v>8.447394795013464</v>
      </c>
      <c r="P17" s="4">
        <f>('Input&amp;Output'!$D$23*'Input&amp;Output'!$D$27*12/1000000)*(1+('Input&amp;Output'!$G$23/100))^ROW(A9)</f>
        <v>0.39372669816636996</v>
      </c>
      <c r="Q17" s="4">
        <f>('Input&amp;Output'!$D$24*'Input&amp;Output'!$D$27*365/1000000)*((1+('Input&amp;Output'!$G$24/100))^ROW(A9))</f>
        <v>5.1639054432900027</v>
      </c>
      <c r="R17" s="4">
        <f>'Input&amp;Output'!$D$25*((1+('Input&amp;Output'!$G$25/100))^ROW(A9))</f>
        <v>3.6769184248403097</v>
      </c>
      <c r="S17" s="4">
        <f>'Input&amp;Output'!$D$10*'Input&amp;Output'!$D$26*(1+('Input&amp;Output'!$G$26/100))^ROW(A9)</f>
        <v>55.153776372604646</v>
      </c>
      <c r="U17" s="4">
        <f t="shared" si="5"/>
        <v>78.684798950472654</v>
      </c>
      <c r="W17" s="4">
        <f t="shared" si="6"/>
        <v>217.93361167845697</v>
      </c>
      <c r="AG17" s="4">
        <f>IF(A17&lt;='Input&amp;Output'!$D$38,$K$8/'Input&amp;Output'!$D$38,0)</f>
        <v>21.9</v>
      </c>
      <c r="AH17" s="4">
        <f t="shared" si="7"/>
        <v>78.684798950472654</v>
      </c>
      <c r="AK17" s="4">
        <f t="shared" si="8"/>
        <v>117.34881272798432</v>
      </c>
      <c r="AL17" s="4">
        <f>AK17*('Input&amp;Output'!$D$32/100)</f>
        <v>46.93952509119373</v>
      </c>
      <c r="AM17" s="8"/>
      <c r="AN17" s="5"/>
      <c r="AO17" s="4">
        <f t="shared" si="9"/>
        <v>217.93361167845697</v>
      </c>
      <c r="AQ17" s="4">
        <f t="shared" si="10"/>
        <v>78.684798950472654</v>
      </c>
      <c r="AR17" s="4">
        <f t="shared" si="11"/>
        <v>46.93952509119373</v>
      </c>
      <c r="AS17" s="4">
        <f t="shared" si="1"/>
        <v>92.3092876367906</v>
      </c>
      <c r="AU17" s="4">
        <f>AS17/(1+'Input&amp;Output'!$D$33/100)^A17</f>
        <v>39.148149040423533</v>
      </c>
      <c r="AW17" s="4">
        <f t="shared" si="12"/>
        <v>986.29698818345389</v>
      </c>
      <c r="AX17" s="4">
        <f t="shared" si="2"/>
        <v>0</v>
      </c>
      <c r="AZ17" s="4">
        <f t="shared" si="3"/>
        <v>92.3092876367906</v>
      </c>
      <c r="BA17" s="4">
        <f t="shared" si="3"/>
        <v>17.890158367111557</v>
      </c>
      <c r="BB17" s="4">
        <f t="shared" si="3"/>
        <v>4.467793360221969</v>
      </c>
      <c r="BC17" s="4">
        <f t="shared" si="3"/>
        <v>1.3432769284815078</v>
      </c>
      <c r="BD17" s="4">
        <f t="shared" si="3"/>
        <v>0.46536407478337205</v>
      </c>
      <c r="BE17" s="4">
        <f t="shared" si="3"/>
        <v>0.18029157741560664</v>
      </c>
    </row>
    <row r="18" spans="1:57" ht="12" customHeight="1" x14ac:dyDescent="0.2">
      <c r="A18" s="8">
        <v>10</v>
      </c>
      <c r="C18" s="4">
        <f>C17*(1-'Input&amp;Output'!$D$6/100)</f>
        <v>4.1407386218906819</v>
      </c>
      <c r="D18" s="4">
        <f>C18*'Input&amp;Output'!$D$7/1000</f>
        <v>6.2111079328360228</v>
      </c>
      <c r="F18" s="4">
        <f>'Input&amp;Output'!$D$30*C18</f>
        <v>82.814772437813645</v>
      </c>
      <c r="G18" s="4">
        <f>'Input&amp;Output'!$D$30*D18</f>
        <v>124.22215865672045</v>
      </c>
      <c r="I18" s="4">
        <f t="shared" si="4"/>
        <v>207.03693109453411</v>
      </c>
      <c r="M18" s="4">
        <f>'Input&amp;Output'!$D$20*(1+('Input&amp;Output'!$G$20/100))^ROW(A10)</f>
        <v>1.2189944199947571</v>
      </c>
      <c r="N18" s="4">
        <f>'Input&amp;Output'!$D$21*(1+('Input&amp;Output'!$G$21/100))^ROW(A10)</f>
        <v>4.8866838803323249</v>
      </c>
      <c r="O18" s="4">
        <f>'Input&amp;Output'!$D$22*(1+('Input&amp;Output'!$G$22/100))^ROW(A10)</f>
        <v>8.9542384827142723</v>
      </c>
      <c r="P18" s="4">
        <f>('Input&amp;Output'!$D$23*'Input&amp;Output'!$D$27*12/1000000)*(1+('Input&amp;Output'!$G$23/100))^ROW(A10)</f>
        <v>0.3976639651480337</v>
      </c>
      <c r="Q18" s="4">
        <f>('Input&amp;Output'!$D$24*'Input&amp;Output'!$D$27*365/1000000)*((1+('Input&amp;Output'!$G$24/100))^ROW(A10))</f>
        <v>5.6802959876190036</v>
      </c>
      <c r="R18" s="4">
        <f>'Input&amp;Output'!$D$25*((1+('Input&amp;Output'!$G$25/100))^ROW(A10))</f>
        <v>3.9343027145791312</v>
      </c>
      <c r="S18" s="4">
        <f>'Input&amp;Output'!$D$10*'Input&amp;Output'!$D$26*(1+('Input&amp;Output'!$G$26/100))^ROW(A10)</f>
        <v>59.014540718686966</v>
      </c>
      <c r="U18" s="4">
        <f t="shared" si="5"/>
        <v>84.086720169074482</v>
      </c>
      <c r="W18" s="4">
        <f t="shared" si="6"/>
        <v>207.03693109453411</v>
      </c>
      <c r="AG18" s="4">
        <f>IF(A18&lt;='Input&amp;Output'!$D$38,$K$8/'Input&amp;Output'!$D$38,0)</f>
        <v>21.9</v>
      </c>
      <c r="AH18" s="4">
        <f t="shared" si="7"/>
        <v>84.086720169074482</v>
      </c>
      <c r="AK18" s="4">
        <f t="shared" si="8"/>
        <v>101.05021092545962</v>
      </c>
      <c r="AL18" s="4">
        <f>AK18*('Input&amp;Output'!$D$32/100)</f>
        <v>40.420084370183851</v>
      </c>
      <c r="AM18" s="8"/>
      <c r="AN18" s="5"/>
      <c r="AO18" s="4">
        <f t="shared" si="9"/>
        <v>207.03693109453411</v>
      </c>
      <c r="AQ18" s="4">
        <f t="shared" si="10"/>
        <v>84.086720169074482</v>
      </c>
      <c r="AR18" s="4">
        <f t="shared" si="11"/>
        <v>40.420084370183851</v>
      </c>
      <c r="AS18" s="4">
        <f t="shared" si="1"/>
        <v>82.530126555275785</v>
      </c>
      <c r="AU18" s="4">
        <f>AS18/(1+'Input&amp;Output'!$D$33/100)^A18</f>
        <v>31.818936469156554</v>
      </c>
      <c r="AW18" s="4">
        <f t="shared" si="12"/>
        <v>1068.8271147387297</v>
      </c>
      <c r="AX18" s="4">
        <f t="shared" si="2"/>
        <v>0</v>
      </c>
      <c r="AZ18" s="4">
        <f t="shared" si="3"/>
        <v>82.530126555275785</v>
      </c>
      <c r="BA18" s="4">
        <f t="shared" si="3"/>
        <v>13.329076195282553</v>
      </c>
      <c r="BB18" s="4">
        <f t="shared" si="3"/>
        <v>2.8531995988836729</v>
      </c>
      <c r="BC18" s="4">
        <f t="shared" si="3"/>
        <v>0.75060712838672494</v>
      </c>
      <c r="BD18" s="4">
        <f t="shared" si="3"/>
        <v>0.2311465735909046</v>
      </c>
      <c r="BE18" s="4">
        <f t="shared" si="3"/>
        <v>8.0595826714136509E-2</v>
      </c>
    </row>
    <row r="19" spans="1:57" ht="12" customHeight="1" x14ac:dyDescent="0.2">
      <c r="A19" s="8">
        <v>11</v>
      </c>
      <c r="C19" s="4">
        <f>C18*(1-'Input&amp;Output'!$D$6/100)</f>
        <v>3.9337016907961475</v>
      </c>
      <c r="D19" s="4">
        <f>C19*'Input&amp;Output'!$D$7/1000</f>
        <v>5.9005525361942208</v>
      </c>
      <c r="F19" s="4">
        <f>'Input&amp;Output'!$D$30*C19</f>
        <v>78.674033815922954</v>
      </c>
      <c r="G19" s="4">
        <f>'Input&amp;Output'!$D$30*D19</f>
        <v>118.01105072388441</v>
      </c>
      <c r="I19" s="4">
        <f t="shared" si="4"/>
        <v>196.68508453980735</v>
      </c>
      <c r="M19" s="4">
        <f>'Input&amp;Output'!$D$20*(1+('Input&amp;Output'!$G$20/100))^ROW(A11)</f>
        <v>1.243374308394652</v>
      </c>
      <c r="N19" s="4">
        <f>'Input&amp;Output'!$D$21*(1+('Input&amp;Output'!$G$21/100))^ROW(A11)</f>
        <v>5.1310180743489413</v>
      </c>
      <c r="O19" s="4">
        <f>'Input&amp;Output'!$D$22*(1+('Input&amp;Output'!$G$22/100))^ROW(A11)</f>
        <v>9.4914927916771301</v>
      </c>
      <c r="P19" s="4">
        <f>('Input&amp;Output'!$D$23*'Input&amp;Output'!$D$27*12/1000000)*(1+('Input&amp;Output'!$G$23/100))^ROW(A11)</f>
        <v>0.40164060479951397</v>
      </c>
      <c r="Q19" s="4">
        <f>('Input&amp;Output'!$D$24*'Input&amp;Output'!$D$27*365/1000000)*((1+('Input&amp;Output'!$G$24/100))^ROW(A11))</f>
        <v>6.2483255863809051</v>
      </c>
      <c r="R19" s="4">
        <f>'Input&amp;Output'!$D$25*((1+('Input&amp;Output'!$G$25/100))^ROW(A11))</f>
        <v>4.2097039045996709</v>
      </c>
      <c r="S19" s="4">
        <f>'Input&amp;Output'!$D$10*'Input&amp;Output'!$D$26*(1+('Input&amp;Output'!$G$26/100))^ROW(A11)</f>
        <v>63.145558568995064</v>
      </c>
      <c r="U19" s="4">
        <f t="shared" si="5"/>
        <v>89.871113839195871</v>
      </c>
      <c r="W19" s="4">
        <f t="shared" si="6"/>
        <v>196.68508453980735</v>
      </c>
      <c r="AG19" s="4">
        <f>IF(A19&lt;='Input&amp;Output'!$D$38,$K$8/'Input&amp;Output'!$D$38,0)</f>
        <v>0</v>
      </c>
      <c r="AH19" s="4">
        <f t="shared" si="7"/>
        <v>89.871113839195871</v>
      </c>
      <c r="AK19" s="4">
        <f t="shared" si="8"/>
        <v>106.81397070061148</v>
      </c>
      <c r="AL19" s="4">
        <f>AK19*('Input&amp;Output'!$D$32/100)</f>
        <v>42.725588280244594</v>
      </c>
      <c r="AM19" s="8"/>
      <c r="AN19" s="5"/>
      <c r="AO19" s="4">
        <f t="shared" si="9"/>
        <v>196.68508453980735</v>
      </c>
      <c r="AQ19" s="4">
        <f t="shared" si="10"/>
        <v>89.871113839195871</v>
      </c>
      <c r="AR19" s="4">
        <f t="shared" si="11"/>
        <v>42.725588280244594</v>
      </c>
      <c r="AS19" s="4">
        <f t="shared" si="1"/>
        <v>64.088382420366884</v>
      </c>
      <c r="AU19" s="4">
        <f>AS19/(1+'Input&amp;Output'!$D$33/100)^A19</f>
        <v>22.462587065969092</v>
      </c>
      <c r="AW19" s="4">
        <f t="shared" si="12"/>
        <v>1132.9154971590965</v>
      </c>
      <c r="AX19" s="4">
        <f t="shared" si="2"/>
        <v>0</v>
      </c>
      <c r="AZ19" s="4">
        <f t="shared" si="3"/>
        <v>64.088382420366884</v>
      </c>
      <c r="BA19" s="4">
        <f t="shared" si="3"/>
        <v>8.6255262993905806</v>
      </c>
      <c r="BB19" s="4">
        <f t="shared" si="3"/>
        <v>1.5825991121334262</v>
      </c>
      <c r="BC19" s="4">
        <f t="shared" si="3"/>
        <v>0.36430027660325559</v>
      </c>
      <c r="BD19" s="4">
        <f t="shared" si="3"/>
        <v>9.9719881573788416E-2</v>
      </c>
      <c r="BE19" s="4">
        <f t="shared" si="3"/>
        <v>3.1293155478694767E-2</v>
      </c>
    </row>
    <row r="20" spans="1:57" ht="12" customHeight="1" x14ac:dyDescent="0.2">
      <c r="A20" s="8">
        <v>12</v>
      </c>
      <c r="C20" s="4">
        <f>C19*(1-'Input&amp;Output'!$D$6/100)</f>
        <v>3.7370166062563399</v>
      </c>
      <c r="D20" s="4">
        <f>C20*'Input&amp;Output'!$D$7/1000</f>
        <v>5.6055249093845099</v>
      </c>
      <c r="F20" s="4">
        <f>'Input&amp;Output'!$D$30*C20</f>
        <v>74.740332125126798</v>
      </c>
      <c r="G20" s="4">
        <f>'Input&amp;Output'!$D$30*D20</f>
        <v>112.1104981876902</v>
      </c>
      <c r="I20" s="4">
        <f t="shared" si="4"/>
        <v>186.85083031281698</v>
      </c>
      <c r="M20" s="4">
        <f>'Input&amp;Output'!$D$20*(1+('Input&amp;Output'!$G$20/100))^ROW(A12)</f>
        <v>1.2682417945625453</v>
      </c>
      <c r="N20" s="4">
        <f>'Input&amp;Output'!$D$21*(1+('Input&amp;Output'!$G$21/100))^ROW(A12)</f>
        <v>5.3875689780663878</v>
      </c>
      <c r="O20" s="4">
        <f>'Input&amp;Output'!$D$22*(1+('Input&amp;Output'!$G$22/100))^ROW(A12)</f>
        <v>10.060982359177759</v>
      </c>
      <c r="P20" s="4">
        <f>('Input&amp;Output'!$D$23*'Input&amp;Output'!$D$27*12/1000000)*(1+('Input&amp;Output'!$G$23/100))^ROW(A12)</f>
        <v>0.4056570108475091</v>
      </c>
      <c r="Q20" s="4">
        <f>('Input&amp;Output'!$D$24*'Input&amp;Output'!$D$27*365/1000000)*((1+('Input&amp;Output'!$G$24/100))^ROW(A12))</f>
        <v>6.8731581450189951</v>
      </c>
      <c r="R20" s="4">
        <f>'Input&amp;Output'!$D$25*((1+('Input&amp;Output'!$G$25/100))^ROW(A12))</f>
        <v>4.504383177921647</v>
      </c>
      <c r="S20" s="4">
        <f>'Input&amp;Output'!$D$10*'Input&amp;Output'!$D$26*(1+('Input&amp;Output'!$G$26/100))^ROW(A12)</f>
        <v>67.565747668824699</v>
      </c>
      <c r="U20" s="4">
        <f t="shared" si="5"/>
        <v>96.065739134419545</v>
      </c>
      <c r="W20" s="4">
        <f t="shared" si="6"/>
        <v>186.85083031281698</v>
      </c>
      <c r="AG20" s="4">
        <f>IF(A20&lt;='Input&amp;Output'!$D$38,$K$8/'Input&amp;Output'!$D$38,0)</f>
        <v>0</v>
      </c>
      <c r="AH20" s="4">
        <f t="shared" si="7"/>
        <v>96.065739134419545</v>
      </c>
      <c r="AK20" s="4">
        <f t="shared" si="8"/>
        <v>90.785091178397437</v>
      </c>
      <c r="AL20" s="4">
        <f>AK20*('Input&amp;Output'!$D$32/100)</f>
        <v>36.314036471358975</v>
      </c>
      <c r="AM20" s="8"/>
      <c r="AN20" s="5"/>
      <c r="AO20" s="4">
        <f t="shared" si="9"/>
        <v>186.85083031281698</v>
      </c>
      <c r="AQ20" s="4">
        <f t="shared" si="10"/>
        <v>96.065739134419545</v>
      </c>
      <c r="AR20" s="4">
        <f t="shared" si="11"/>
        <v>36.314036471358975</v>
      </c>
      <c r="AS20" s="4">
        <f t="shared" si="1"/>
        <v>54.471054707038462</v>
      </c>
      <c r="AU20" s="4">
        <f>AS20/(1+'Input&amp;Output'!$D$33/100)^A20</f>
        <v>17.35615670284923</v>
      </c>
      <c r="AW20" s="4">
        <f t="shared" si="12"/>
        <v>1187.3865518661351</v>
      </c>
      <c r="AX20" s="4">
        <f t="shared" si="2"/>
        <v>0</v>
      </c>
      <c r="AZ20" s="4">
        <f t="shared" si="3"/>
        <v>54.471054707038462</v>
      </c>
      <c r="BA20" s="4">
        <f t="shared" si="3"/>
        <v>6.109291278531197</v>
      </c>
      <c r="BB20" s="4">
        <f t="shared" si="3"/>
        <v>0.960791951461334</v>
      </c>
      <c r="BC20" s="4">
        <f t="shared" si="3"/>
        <v>0.19352006115638568</v>
      </c>
      <c r="BD20" s="4">
        <f t="shared" si="3"/>
        <v>4.7086425542748417E-2</v>
      </c>
      <c r="BE20" s="4">
        <f t="shared" si="3"/>
        <v>1.3298597340585562E-2</v>
      </c>
    </row>
    <row r="21" spans="1:57" ht="12" customHeight="1" x14ac:dyDescent="0.2">
      <c r="A21" s="8">
        <v>13</v>
      </c>
      <c r="C21" s="4">
        <f>C20*(1-'Input&amp;Output'!$D$6/100)</f>
        <v>3.5501657759435226</v>
      </c>
      <c r="D21" s="4">
        <f>C21*'Input&amp;Output'!$D$7/1000</f>
        <v>5.3252486639152838</v>
      </c>
      <c r="F21" s="4">
        <f>'Input&amp;Output'!$D$30*C21</f>
        <v>71.003315518870451</v>
      </c>
      <c r="G21" s="4">
        <f>'Input&amp;Output'!$D$30*D21</f>
        <v>106.50497327830567</v>
      </c>
      <c r="I21" s="4">
        <f t="shared" si="4"/>
        <v>177.50828879717614</v>
      </c>
      <c r="M21" s="4">
        <f>'Input&amp;Output'!$D$20*(1+('Input&amp;Output'!$G$20/100))^ROW(A13)</f>
        <v>1.2936066304537961</v>
      </c>
      <c r="N21" s="4">
        <f>'Input&amp;Output'!$D$21*(1+('Input&amp;Output'!$G$21/100))^ROW(A13)</f>
        <v>5.6569474269697082</v>
      </c>
      <c r="O21" s="4">
        <f>'Input&amp;Output'!$D$22*(1+('Input&amp;Output'!$G$22/100))^ROW(A13)</f>
        <v>10.664641300728427</v>
      </c>
      <c r="P21" s="4">
        <f>('Input&amp;Output'!$D$23*'Input&amp;Output'!$D$27*12/1000000)*(1+('Input&amp;Output'!$G$23/100))^ROW(A13)</f>
        <v>0.4097135809559842</v>
      </c>
      <c r="Q21" s="4">
        <f>('Input&amp;Output'!$D$24*'Input&amp;Output'!$D$27*365/1000000)*((1+('Input&amp;Output'!$G$24/100))^ROW(A13))</f>
        <v>7.5604739595208956</v>
      </c>
      <c r="R21" s="4">
        <f>'Input&amp;Output'!$D$25*((1+('Input&amp;Output'!$G$25/100))^ROW(A13))</f>
        <v>4.8196900003761627</v>
      </c>
      <c r="S21" s="4">
        <f>'Input&amp;Output'!$D$10*'Input&amp;Output'!$D$26*(1+('Input&amp;Output'!$G$26/100))^ROW(A13)</f>
        <v>72.295350005642433</v>
      </c>
      <c r="U21" s="4">
        <f t="shared" si="5"/>
        <v>102.70042290464741</v>
      </c>
      <c r="W21" s="4">
        <f t="shared" si="6"/>
        <v>177.50828879717614</v>
      </c>
      <c r="AG21" s="4">
        <f>IF(A21&lt;='Input&amp;Output'!$D$38,$K$8/'Input&amp;Output'!$D$38,0)</f>
        <v>0</v>
      </c>
      <c r="AH21" s="4">
        <f t="shared" si="7"/>
        <v>102.70042290464741</v>
      </c>
      <c r="AK21" s="4">
        <f t="shared" si="8"/>
        <v>74.807865892528724</v>
      </c>
      <c r="AL21" s="4">
        <f>AK21*('Input&amp;Output'!$D$32/100)</f>
        <v>29.92314635701149</v>
      </c>
      <c r="AM21" s="8"/>
      <c r="AN21" s="5"/>
      <c r="AO21" s="4">
        <f t="shared" si="9"/>
        <v>177.50828879717614</v>
      </c>
      <c r="AQ21" s="4">
        <f t="shared" si="10"/>
        <v>102.70042290464741</v>
      </c>
      <c r="AR21" s="4">
        <f t="shared" si="11"/>
        <v>29.92314635701149</v>
      </c>
      <c r="AS21" s="4">
        <f t="shared" si="1"/>
        <v>44.884719535517235</v>
      </c>
      <c r="AU21" s="4">
        <f>AS21/(1+'Input&amp;Output'!$D$33/100)^A21</f>
        <v>13.001504443910791</v>
      </c>
      <c r="AW21" s="4">
        <f t="shared" si="12"/>
        <v>1232.2712714016523</v>
      </c>
      <c r="AX21" s="4">
        <f t="shared" si="2"/>
        <v>0</v>
      </c>
      <c r="AZ21" s="4">
        <f t="shared" si="3"/>
        <v>44.884719535517235</v>
      </c>
      <c r="BA21" s="4">
        <f t="shared" si="3"/>
        <v>4.1950999950410637</v>
      </c>
      <c r="BB21" s="4">
        <f t="shared" si="3"/>
        <v>0.56550187860929979</v>
      </c>
      <c r="BC21" s="4">
        <f t="shared" si="3"/>
        <v>9.9664098164347445E-2</v>
      </c>
      <c r="BD21" s="4">
        <f t="shared" si="3"/>
        <v>2.1555393204122603E-2</v>
      </c>
      <c r="BE21" s="4">
        <f t="shared" si="3"/>
        <v>5.4790917401754437E-3</v>
      </c>
    </row>
    <row r="22" spans="1:57" ht="12" customHeight="1" x14ac:dyDescent="0.2">
      <c r="A22" s="8">
        <v>14</v>
      </c>
      <c r="C22" s="4">
        <f>C21*(1-'Input&amp;Output'!$D$6/100)</f>
        <v>3.3726574871463462</v>
      </c>
      <c r="D22" s="4">
        <f>C22*'Input&amp;Output'!$D$7/1000</f>
        <v>5.058986230719519</v>
      </c>
      <c r="F22" s="4">
        <f>'Input&amp;Output'!$D$30*C22</f>
        <v>67.453149742926925</v>
      </c>
      <c r="G22" s="4">
        <f>'Input&amp;Output'!$D$30*D22</f>
        <v>101.17972461439038</v>
      </c>
      <c r="I22" s="4">
        <f t="shared" si="4"/>
        <v>168.63287435731729</v>
      </c>
      <c r="M22" s="4">
        <f>'Input&amp;Output'!$D$20*(1+('Input&amp;Output'!$G$20/100))^ROW(A14)</f>
        <v>1.3194787630628722</v>
      </c>
      <c r="N22" s="4">
        <f>'Input&amp;Output'!$D$21*(1+('Input&amp;Output'!$G$21/100))^ROW(A14)</f>
        <v>5.939794798318192</v>
      </c>
      <c r="O22" s="4">
        <f>'Input&amp;Output'!$D$22*(1+('Input&amp;Output'!$G$22/100))^ROW(A14)</f>
        <v>11.30451977877213</v>
      </c>
      <c r="P22" s="4">
        <f>('Input&amp;Output'!$D$23*'Input&amp;Output'!$D$27*12/1000000)*(1+('Input&amp;Output'!$G$23/100))^ROW(A14)</f>
        <v>0.4138107167655441</v>
      </c>
      <c r="Q22" s="4">
        <f>('Input&amp;Output'!$D$24*'Input&amp;Output'!$D$27*365/1000000)*((1+('Input&amp;Output'!$G$24/100))^ROW(A14))</f>
        <v>8.316521355472986</v>
      </c>
      <c r="R22" s="4">
        <f>'Input&amp;Output'!$D$25*((1+('Input&amp;Output'!$G$25/100))^ROW(A14))</f>
        <v>5.1570683004024938</v>
      </c>
      <c r="S22" s="4">
        <f>'Input&amp;Output'!$D$10*'Input&amp;Output'!$D$26*(1+('Input&amp;Output'!$G$26/100))^ROW(A14)</f>
        <v>77.3560245060374</v>
      </c>
      <c r="U22" s="4">
        <f t="shared" si="5"/>
        <v>109.80721821883162</v>
      </c>
      <c r="W22" s="4">
        <f t="shared" si="6"/>
        <v>168.63287435731729</v>
      </c>
      <c r="AG22" s="4">
        <f>IF(A22&lt;='Input&amp;Output'!$D$38,$K$8/'Input&amp;Output'!$D$38,0)</f>
        <v>0</v>
      </c>
      <c r="AH22" s="4">
        <f t="shared" si="7"/>
        <v>109.80721821883162</v>
      </c>
      <c r="AK22" s="4">
        <f t="shared" si="8"/>
        <v>58.82565613848567</v>
      </c>
      <c r="AL22" s="4">
        <f>AK22*('Input&amp;Output'!$D$32/100)</f>
        <v>23.530262455394269</v>
      </c>
      <c r="AM22" s="8"/>
      <c r="AN22" s="5"/>
      <c r="AO22" s="4">
        <f t="shared" si="9"/>
        <v>168.63287435731729</v>
      </c>
      <c r="AQ22" s="4">
        <f t="shared" si="10"/>
        <v>109.80721821883162</v>
      </c>
      <c r="AR22" s="4">
        <f t="shared" si="11"/>
        <v>23.530262455394269</v>
      </c>
      <c r="AS22" s="4">
        <f t="shared" si="1"/>
        <v>35.295393683091405</v>
      </c>
      <c r="AU22" s="4">
        <f>AS22/(1+'Input&amp;Output'!$D$33/100)^A22</f>
        <v>9.2943802897953436</v>
      </c>
      <c r="AW22" s="4">
        <f t="shared" si="12"/>
        <v>1267.5666650847436</v>
      </c>
      <c r="AX22" s="4">
        <f t="shared" si="2"/>
        <v>0</v>
      </c>
      <c r="AZ22" s="4">
        <f t="shared" si="3"/>
        <v>35.295393683091405</v>
      </c>
      <c r="BA22" s="4">
        <f t="shared" si="3"/>
        <v>2.749037003334422</v>
      </c>
      <c r="BB22" s="4">
        <f t="shared" si="3"/>
        <v>0.31763293739084797</v>
      </c>
      <c r="BC22" s="4">
        <f t="shared" si="3"/>
        <v>4.898219841272166E-2</v>
      </c>
      <c r="BD22" s="4">
        <f t="shared" si="3"/>
        <v>9.4167915917145045E-3</v>
      </c>
      <c r="BE22" s="4">
        <f t="shared" si="3"/>
        <v>2.1542598683527469E-3</v>
      </c>
    </row>
    <row r="23" spans="1:57" ht="12" customHeight="1" x14ac:dyDescent="0.2">
      <c r="A23" s="8">
        <v>15</v>
      </c>
      <c r="C23" s="4">
        <f>C22*(1-'Input&amp;Output'!$D$6/100)</f>
        <v>3.2040246127890288</v>
      </c>
      <c r="D23" s="4">
        <f>C23*'Input&amp;Output'!$D$7/1000</f>
        <v>4.8060369191835433</v>
      </c>
      <c r="F23" s="4">
        <f>'Input&amp;Output'!$D$30*C23</f>
        <v>64.08049225578057</v>
      </c>
      <c r="G23" s="4">
        <f>'Input&amp;Output'!$D$30*D23</f>
        <v>96.120738383670869</v>
      </c>
      <c r="I23" s="4">
        <f t="shared" si="4"/>
        <v>160.20123063945144</v>
      </c>
      <c r="M23" s="4">
        <f>'Input&amp;Output'!$D$20*(1+('Input&amp;Output'!$G$20/100))^ROW(A15)</f>
        <v>1.3458683383241292</v>
      </c>
      <c r="N23" s="4">
        <f>'Input&amp;Output'!$D$21*(1+('Input&amp;Output'!$G$21/100))^ROW(A15)</f>
        <v>6.2367845382341036</v>
      </c>
      <c r="O23" s="4">
        <f>'Input&amp;Output'!$D$22*(1+('Input&amp;Output'!$G$22/100))^ROW(A15)</f>
        <v>11.982790965498463</v>
      </c>
      <c r="P23" s="4">
        <f>('Input&amp;Output'!$D$23*'Input&amp;Output'!$D$27*12/1000000)*(1+('Input&amp;Output'!$G$23/100))^ROW(A15)</f>
        <v>0.41794882393319943</v>
      </c>
      <c r="Q23" s="4">
        <f>('Input&amp;Output'!$D$24*'Input&amp;Output'!$D$27*365/1000000)*((1+('Input&amp;Output'!$G$24/100))^ROW(A15))</f>
        <v>9.1481734910202857</v>
      </c>
      <c r="R23" s="4">
        <f>'Input&amp;Output'!$D$25*((1+('Input&amp;Output'!$G$25/100))^ROW(A15))</f>
        <v>5.518063081430669</v>
      </c>
      <c r="S23" s="4">
        <f>'Input&amp;Output'!$D$10*'Input&amp;Output'!$D$26*(1+('Input&amp;Output'!$G$26/100))^ROW(A15)</f>
        <v>82.770946221460036</v>
      </c>
      <c r="U23" s="4">
        <f t="shared" si="5"/>
        <v>117.42057545990087</v>
      </c>
      <c r="W23" s="4">
        <f t="shared" si="6"/>
        <v>160.20123063945144</v>
      </c>
      <c r="AG23" s="4">
        <f>IF(A23&lt;='Input&amp;Output'!$D$38,$K$8/'Input&amp;Output'!$D$38,0)</f>
        <v>0</v>
      </c>
      <c r="AH23" s="4">
        <f t="shared" si="7"/>
        <v>117.42057545990087</v>
      </c>
      <c r="AK23" s="4">
        <f t="shared" si="8"/>
        <v>42.780655179550564</v>
      </c>
      <c r="AL23" s="4">
        <f>AK23*('Input&amp;Output'!$D$32/100)</f>
        <v>17.112262071820226</v>
      </c>
      <c r="AM23" s="8"/>
      <c r="AN23" s="5"/>
      <c r="AO23" s="4">
        <f t="shared" si="9"/>
        <v>160.20123063945144</v>
      </c>
      <c r="AQ23" s="4">
        <f t="shared" si="10"/>
        <v>117.42057545990087</v>
      </c>
      <c r="AR23" s="4">
        <f t="shared" si="11"/>
        <v>17.112262071820226</v>
      </c>
      <c r="AS23" s="4">
        <f t="shared" si="1"/>
        <v>25.668393107730338</v>
      </c>
      <c r="AU23" s="4">
        <f>AS23/(1+'Input&amp;Output'!$D$33/100)^A23</f>
        <v>6.1448092300728749</v>
      </c>
      <c r="AW23" s="4">
        <f t="shared" si="12"/>
        <v>1293.2350581924738</v>
      </c>
      <c r="AX23" s="4">
        <f t="shared" si="2"/>
        <v>0</v>
      </c>
      <c r="AZ23" s="4">
        <f t="shared" si="3"/>
        <v>25.668393107730338</v>
      </c>
      <c r="BA23" s="4">
        <f t="shared" si="3"/>
        <v>1.6660191577890655</v>
      </c>
      <c r="BB23" s="4">
        <f t="shared" si="3"/>
        <v>0.16499779736772235</v>
      </c>
      <c r="BC23" s="4">
        <f t="shared" si="3"/>
        <v>2.2263782057290508E-2</v>
      </c>
      <c r="BD23" s="4">
        <f t="shared" si="3"/>
        <v>3.8046184118715144E-3</v>
      </c>
      <c r="BE23" s="4">
        <f t="shared" si="3"/>
        <v>7.8333719200837214E-4</v>
      </c>
    </row>
    <row r="24" spans="1:57" ht="12" customHeight="1" x14ac:dyDescent="0.2">
      <c r="A24" s="8">
        <v>16</v>
      </c>
      <c r="C24" s="4">
        <f>C23*(1-'Input&amp;Output'!$D$6/100)</f>
        <v>3.043823382149577</v>
      </c>
      <c r="D24" s="4">
        <f>C24*'Input&amp;Output'!$D$7/1000</f>
        <v>4.5657350732243662</v>
      </c>
      <c r="F24" s="4">
        <f>'Input&amp;Output'!$D$30*C24</f>
        <v>60.876467642991543</v>
      </c>
      <c r="G24" s="4">
        <f>'Input&amp;Output'!$D$30*D24</f>
        <v>91.314701464487328</v>
      </c>
      <c r="I24" s="4">
        <f t="shared" si="4"/>
        <v>152.19116910747886</v>
      </c>
      <c r="M24" s="4">
        <f>'Input&amp;Output'!$D$20*(1+('Input&amp;Output'!$G$20/100))^ROW(A16)</f>
        <v>1.372785705090612</v>
      </c>
      <c r="N24" s="4">
        <f>'Input&amp;Output'!$D$21*(1+('Input&amp;Output'!$G$21/100))^ROW(A16)</f>
        <v>6.5486237651458081</v>
      </c>
      <c r="O24" s="4">
        <f>'Input&amp;Output'!$D$22*(1+('Input&amp;Output'!$G$22/100))^ROW(A16)</f>
        <v>12.701758423428366</v>
      </c>
      <c r="P24" s="4">
        <f>('Input&amp;Output'!$D$23*'Input&amp;Output'!$D$27*12/1000000)*(1+('Input&amp;Output'!$G$23/100))^ROW(A16)</f>
        <v>0.42212831217253155</v>
      </c>
      <c r="Q24" s="4">
        <f>('Input&amp;Output'!$D$24*'Input&amp;Output'!$D$27*365/1000000)*((1+('Input&amp;Output'!$G$24/100))^ROW(A16))</f>
        <v>10.062990840122314</v>
      </c>
      <c r="R24" s="4">
        <f>'Input&amp;Output'!$D$25*((1+('Input&amp;Output'!$G$25/100))^ROW(A16))</f>
        <v>5.9043274971308151</v>
      </c>
      <c r="S24" s="4">
        <f>'Input&amp;Output'!$D$10*'Input&amp;Output'!$D$26*(1+('Input&amp;Output'!$G$26/100))^ROW(A16)</f>
        <v>88.564912456962219</v>
      </c>
      <c r="U24" s="4">
        <f t="shared" si="5"/>
        <v>125.57752700005267</v>
      </c>
      <c r="W24" s="4">
        <f t="shared" si="6"/>
        <v>152.19116910747886</v>
      </c>
      <c r="AG24" s="4">
        <f>IF(A24&lt;='Input&amp;Output'!$D$38,$K$8/'Input&amp;Output'!$D$38,0)</f>
        <v>0</v>
      </c>
      <c r="AH24" s="4">
        <f t="shared" si="7"/>
        <v>125.57752700005267</v>
      </c>
      <c r="AK24" s="4">
        <f t="shared" si="8"/>
        <v>26.613642107426188</v>
      </c>
      <c r="AL24" s="4">
        <f>AK24*('Input&amp;Output'!$D$32/100)</f>
        <v>10.645456842970475</v>
      </c>
      <c r="AM24" s="8"/>
      <c r="AN24" s="5"/>
      <c r="AO24" s="4">
        <f t="shared" si="9"/>
        <v>152.19116910747886</v>
      </c>
      <c r="AQ24" s="4">
        <f t="shared" si="10"/>
        <v>125.57752700005267</v>
      </c>
      <c r="AR24" s="4">
        <f t="shared" si="11"/>
        <v>10.645456842970475</v>
      </c>
      <c r="AS24" s="4">
        <f t="shared" si="1"/>
        <v>15.968185264455713</v>
      </c>
      <c r="AU24" s="4">
        <f>AS24/(1+'Input&amp;Output'!$D$33/100)^A24</f>
        <v>3.4751423592404813</v>
      </c>
      <c r="AW24" s="4">
        <f t="shared" si="12"/>
        <v>1309.2032434569296</v>
      </c>
      <c r="AX24" s="4">
        <f t="shared" si="2"/>
        <v>0</v>
      </c>
      <c r="AZ24" s="4">
        <f t="shared" si="3"/>
        <v>15.968185264455713</v>
      </c>
      <c r="BA24" s="4">
        <f t="shared" si="3"/>
        <v>0.86368549490853475</v>
      </c>
      <c r="BB24" s="4">
        <f t="shared" si="3"/>
        <v>7.3317389253696547E-2</v>
      </c>
      <c r="BC24" s="4">
        <f t="shared" si="3"/>
        <v>8.6563705771869372E-3</v>
      </c>
      <c r="BD24" s="4">
        <f t="shared" si="3"/>
        <v>1.3149083432934571E-3</v>
      </c>
      <c r="BE24" s="4">
        <f t="shared" si="3"/>
        <v>2.436551706612505E-4</v>
      </c>
    </row>
    <row r="25" spans="1:57" ht="12" customHeight="1" x14ac:dyDescent="0.2">
      <c r="A25" s="8">
        <v>17</v>
      </c>
      <c r="C25" s="4">
        <f>C24*(1-'Input&amp;Output'!$D$6/100)</f>
        <v>2.8916322130420982</v>
      </c>
      <c r="D25" s="4">
        <f>C25*'Input&amp;Output'!$D$7/1000</f>
        <v>4.3374483195631477</v>
      </c>
      <c r="F25" s="4">
        <f>'Input&amp;Output'!$D$30*C25</f>
        <v>57.83264426084196</v>
      </c>
      <c r="G25" s="4">
        <f>'Input&amp;Output'!$D$30*D25</f>
        <v>86.748966391262954</v>
      </c>
      <c r="I25" s="4">
        <f t="shared" si="4"/>
        <v>144.58161065210493</v>
      </c>
      <c r="M25" s="4">
        <f>'Input&amp;Output'!$D$20*(1+('Input&amp;Output'!$G$20/100))^ROW(A17)</f>
        <v>1.4002414191924244</v>
      </c>
      <c r="N25" s="4">
        <f>'Input&amp;Output'!$D$21*(1+('Input&amp;Output'!$G$21/100))^ROW(A17)</f>
        <v>6.8760549534030995</v>
      </c>
      <c r="O25" s="4">
        <f>'Input&amp;Output'!$D$22*(1+('Input&amp;Output'!$G$22/100))^ROW(A17)</f>
        <v>13.463863928834069</v>
      </c>
      <c r="P25" s="4">
        <f>('Input&amp;Output'!$D$23*'Input&amp;Output'!$D$27*12/1000000)*(1+('Input&amp;Output'!$G$23/100))^ROW(A17)</f>
        <v>0.42634959529425687</v>
      </c>
      <c r="Q25" s="4">
        <f>('Input&amp;Output'!$D$24*'Input&amp;Output'!$D$27*365/1000000)*((1+('Input&amp;Output'!$G$24/100))^ROW(A17))</f>
        <v>11.069289924134546</v>
      </c>
      <c r="R25" s="4">
        <f>'Input&amp;Output'!$D$25*((1+('Input&amp;Output'!$G$25/100))^ROW(A17))</f>
        <v>6.3176304219299722</v>
      </c>
      <c r="S25" s="4">
        <f>'Input&amp;Output'!$D$10*'Input&amp;Output'!$D$26*(1+('Input&amp;Output'!$G$26/100))^ROW(A17)</f>
        <v>94.764456328949578</v>
      </c>
      <c r="U25" s="4">
        <f t="shared" si="5"/>
        <v>134.31788657173794</v>
      </c>
      <c r="W25" s="4">
        <f t="shared" si="6"/>
        <v>144.58161065210493</v>
      </c>
      <c r="AG25" s="4">
        <f>IF(A25&lt;='Input&amp;Output'!$D$38,$K$8/'Input&amp;Output'!$D$38,0)</f>
        <v>0</v>
      </c>
      <c r="AH25" s="4">
        <f t="shared" si="7"/>
        <v>134.31788657173794</v>
      </c>
      <c r="AK25" s="4">
        <f t="shared" si="8"/>
        <v>10.263724080366984</v>
      </c>
      <c r="AL25" s="4">
        <f>AK25*('Input&amp;Output'!$D$32/100)</f>
        <v>4.105489632146794</v>
      </c>
      <c r="AM25" s="8"/>
      <c r="AN25" s="5"/>
      <c r="AO25" s="4">
        <f t="shared" si="9"/>
        <v>144.58161065210493</v>
      </c>
      <c r="AQ25" s="4">
        <f t="shared" si="10"/>
        <v>134.31788657173794</v>
      </c>
      <c r="AR25" s="4">
        <f t="shared" si="11"/>
        <v>4.105489632146794</v>
      </c>
      <c r="AS25" s="4">
        <f t="shared" si="1"/>
        <v>6.1582344482201901</v>
      </c>
      <c r="AU25" s="4">
        <f>AS25/(1+'Input&amp;Output'!$D$33/100)^A25</f>
        <v>1.2183738554175292</v>
      </c>
      <c r="AW25" s="4">
        <f t="shared" si="12"/>
        <v>1315.3614779051497</v>
      </c>
      <c r="AX25" s="4">
        <f t="shared" si="2"/>
        <v>0</v>
      </c>
      <c r="AZ25" s="4">
        <f t="shared" si="3"/>
        <v>6.1582344482201901</v>
      </c>
      <c r="BA25" s="4">
        <f t="shared" si="3"/>
        <v>0.27757160457326896</v>
      </c>
      <c r="BB25" s="4">
        <f t="shared" si="3"/>
        <v>2.0196662688881092E-2</v>
      </c>
      <c r="BC25" s="4">
        <f t="shared" si="3"/>
        <v>2.0864909898235594E-3</v>
      </c>
      <c r="BD25" s="4">
        <f t="shared" si="3"/>
        <v>2.8172386118660445E-4</v>
      </c>
      <c r="BE25" s="4">
        <f t="shared" si="3"/>
        <v>4.6983600221406479E-5</v>
      </c>
    </row>
    <row r="26" spans="1:57" ht="12" customHeight="1" x14ac:dyDescent="0.2">
      <c r="A26" s="8">
        <v>18</v>
      </c>
      <c r="C26" s="4">
        <f>C25*(1-'Input&amp;Output'!$D$6/100)</f>
        <v>2.7470506023899932</v>
      </c>
      <c r="D26" s="4">
        <f>C26*'Input&amp;Output'!$D$7/1000</f>
        <v>4.1205759035849896</v>
      </c>
      <c r="F26" s="4">
        <f>'Input&amp;Output'!$D$30*C26</f>
        <v>54.941012047799866</v>
      </c>
      <c r="G26" s="4">
        <f>'Input&amp;Output'!$D$30*D26</f>
        <v>82.411518071699788</v>
      </c>
      <c r="I26" s="4">
        <f t="shared" si="4"/>
        <v>137.35253011949965</v>
      </c>
      <c r="M26" s="4">
        <f>'Input&amp;Output'!$D$20*(1+('Input&amp;Output'!$G$20/100))^ROW(A18)</f>
        <v>1.4282462475762727</v>
      </c>
      <c r="N26" s="4">
        <f>'Input&amp;Output'!$D$21*(1+('Input&amp;Output'!$G$21/100))^ROW(A18)</f>
        <v>7.2198577010732539</v>
      </c>
      <c r="O26" s="4">
        <f>'Input&amp;Output'!$D$22*(1+('Input&amp;Output'!$G$22/100))^ROW(A18)</f>
        <v>14.271695764564114</v>
      </c>
      <c r="P26" s="4">
        <f>('Input&amp;Output'!$D$23*'Input&amp;Output'!$D$27*12/1000000)*(1+('Input&amp;Output'!$G$23/100))^ROW(A18)</f>
        <v>0.43061309124719949</v>
      </c>
      <c r="Q26" s="4">
        <f>('Input&amp;Output'!$D$24*'Input&amp;Output'!$D$27*365/1000000)*((1+('Input&amp;Output'!$G$24/100))^ROW(A18))</f>
        <v>12.176218916548001</v>
      </c>
      <c r="R26" s="4">
        <f>'Input&amp;Output'!$D$25*((1+('Input&amp;Output'!$G$25/100))^ROW(A18))</f>
        <v>6.7598645514650704</v>
      </c>
      <c r="S26" s="4">
        <f>'Input&amp;Output'!$D$10*'Input&amp;Output'!$D$26*(1+('Input&amp;Output'!$G$26/100))^ROW(A18)</f>
        <v>101.39796827197605</v>
      </c>
      <c r="U26" s="4">
        <f t="shared" si="5"/>
        <v>143.68446454444995</v>
      </c>
      <c r="W26" s="4">
        <f t="shared" si="6"/>
        <v>137.35253011949965</v>
      </c>
      <c r="AG26" s="4">
        <f>IF(A26&lt;='Input&amp;Output'!$D$38,$K$8/'Input&amp;Output'!$D$38,0)</f>
        <v>0</v>
      </c>
      <c r="AH26" s="4">
        <f t="shared" si="7"/>
        <v>143.68446454444995</v>
      </c>
      <c r="AK26" s="4">
        <f t="shared" si="8"/>
        <v>0</v>
      </c>
      <c r="AL26" s="4">
        <f>AK26*('Input&amp;Output'!$D$32/100)</f>
        <v>0</v>
      </c>
      <c r="AM26" s="8"/>
      <c r="AN26" s="5"/>
      <c r="AO26" s="4">
        <f t="shared" si="9"/>
        <v>137.35253011949965</v>
      </c>
      <c r="AQ26" s="4">
        <f t="shared" si="10"/>
        <v>143.68446454444995</v>
      </c>
      <c r="AR26" s="4">
        <f t="shared" si="11"/>
        <v>0</v>
      </c>
      <c r="AS26" s="4">
        <f t="shared" si="1"/>
        <v>-6.3319344249503047</v>
      </c>
      <c r="AU26" s="4">
        <f>AS26/(1+'Input&amp;Output'!$D$33/100)^A26</f>
        <v>-1.1388540634560544</v>
      </c>
      <c r="AW26" s="4">
        <f t="shared" si="12"/>
        <v>1309.0295434801994</v>
      </c>
      <c r="AX26" s="4">
        <f t="shared" si="2"/>
        <v>0</v>
      </c>
      <c r="AZ26" s="4">
        <f t="shared" si="3"/>
        <v>-6.3319344249503047</v>
      </c>
      <c r="BA26" s="4">
        <f t="shared" si="3"/>
        <v>-0.23783402168865334</v>
      </c>
      <c r="BB26" s="4">
        <f t="shared" si="3"/>
        <v>-1.4833094594622198E-2</v>
      </c>
      <c r="BC26" s="4">
        <f t="shared" si="3"/>
        <v>-1.3408392694466526E-3</v>
      </c>
      <c r="BD26" s="4">
        <f t="shared" si="3"/>
        <v>-1.6092788985548533E-4</v>
      </c>
      <c r="BE26" s="4">
        <f t="shared" si="3"/>
        <v>-2.4154412936974734E-5</v>
      </c>
    </row>
    <row r="27" spans="1:57" ht="12" customHeight="1" x14ac:dyDescent="0.2">
      <c r="A27" s="8">
        <v>19</v>
      </c>
      <c r="C27" s="4">
        <f>C26*(1-'Input&amp;Output'!$D$6/100)</f>
        <v>2.6096980722704934</v>
      </c>
      <c r="D27" s="4">
        <f>C27*'Input&amp;Output'!$D$7/1000</f>
        <v>3.9145471084057402</v>
      </c>
      <c r="F27" s="4">
        <f>'Input&amp;Output'!$D$30*C27</f>
        <v>52.193961445409869</v>
      </c>
      <c r="G27" s="4">
        <f>'Input&amp;Output'!$D$30*D27</f>
        <v>78.29094216811481</v>
      </c>
      <c r="I27" s="4">
        <f t="shared" si="4"/>
        <v>130.48490361352469</v>
      </c>
      <c r="M27" s="4">
        <f>'Input&amp;Output'!$D$20*(1+('Input&amp;Output'!$G$20/100))^ROW(A19)</f>
        <v>1.4568111725277981</v>
      </c>
      <c r="N27" s="4">
        <f>'Input&amp;Output'!$D$21*(1+('Input&amp;Output'!$G$21/100))^ROW(A19)</f>
        <v>7.5808505861269175</v>
      </c>
      <c r="O27" s="4">
        <f>'Input&amp;Output'!$D$22*(1+('Input&amp;Output'!$G$22/100))^ROW(A19)</f>
        <v>15.127997510437963</v>
      </c>
      <c r="P27" s="4">
        <f>('Input&amp;Output'!$D$23*'Input&amp;Output'!$D$27*12/1000000)*(1+('Input&amp;Output'!$G$23/100))^ROW(A19)</f>
        <v>0.43491922215967138</v>
      </c>
      <c r="Q27" s="4">
        <f>('Input&amp;Output'!$D$24*'Input&amp;Output'!$D$27*365/1000000)*((1+('Input&amp;Output'!$G$24/100))^ROW(A19))</f>
        <v>13.393840808202803</v>
      </c>
      <c r="R27" s="4">
        <f>'Input&amp;Output'!$D$25*((1+('Input&amp;Output'!$G$25/100))^ROW(A19))</f>
        <v>7.2330550700676257</v>
      </c>
      <c r="S27" s="4">
        <f>'Input&amp;Output'!$D$10*'Input&amp;Output'!$D$26*(1+('Input&amp;Output'!$G$26/100))^ROW(A19)</f>
        <v>108.49582605101439</v>
      </c>
      <c r="U27" s="4">
        <f t="shared" si="5"/>
        <v>153.72330042053716</v>
      </c>
      <c r="W27" s="4">
        <f t="shared" si="6"/>
        <v>130.48490361352469</v>
      </c>
      <c r="AG27" s="4">
        <f>IF(A27&lt;='Input&amp;Output'!$D$38,$K$8/'Input&amp;Output'!$D$38,0)</f>
        <v>0</v>
      </c>
      <c r="AH27" s="4">
        <f t="shared" si="7"/>
        <v>153.72330042053716</v>
      </c>
      <c r="AK27" s="4">
        <f t="shared" si="8"/>
        <v>0</v>
      </c>
      <c r="AL27" s="4">
        <f>AK27*('Input&amp;Output'!$D$32/100)</f>
        <v>0</v>
      </c>
      <c r="AM27" s="8"/>
      <c r="AN27" s="5"/>
      <c r="AO27" s="4">
        <f t="shared" si="9"/>
        <v>130.48490361352469</v>
      </c>
      <c r="AQ27" s="4">
        <f t="shared" si="10"/>
        <v>153.72330042053716</v>
      </c>
      <c r="AR27" s="4">
        <f t="shared" si="11"/>
        <v>0</v>
      </c>
      <c r="AS27" s="4">
        <f t="shared" si="1"/>
        <v>-23.238396807012464</v>
      </c>
      <c r="AU27" s="4">
        <f>AS27/(1+'Input&amp;Output'!$D$33/100)^A27</f>
        <v>-3.7996635719449046</v>
      </c>
      <c r="AW27" s="4">
        <f t="shared" si="12"/>
        <v>1285.7911466731871</v>
      </c>
      <c r="AX27" s="4">
        <f t="shared" si="2"/>
        <v>0</v>
      </c>
      <c r="AZ27" s="4">
        <f t="shared" si="3"/>
        <v>-23.238396807012464</v>
      </c>
      <c r="BA27" s="4">
        <f t="shared" si="3"/>
        <v>-0.72738189723276014</v>
      </c>
      <c r="BB27" s="4">
        <f t="shared" si="3"/>
        <v>-3.8884228390383878E-2</v>
      </c>
      <c r="BC27" s="4">
        <f t="shared" si="3"/>
        <v>-3.0755762088919771E-3</v>
      </c>
      <c r="BD27" s="4">
        <f t="shared" si="3"/>
        <v>-3.2811687470007885E-4</v>
      </c>
      <c r="BE27" s="4">
        <f t="shared" si="3"/>
        <v>-4.4323724378609588E-5</v>
      </c>
    </row>
    <row r="28" spans="1:57" ht="12" customHeight="1" x14ac:dyDescent="0.2">
      <c r="A28" s="18">
        <v>20</v>
      </c>
      <c r="C28" s="11">
        <f>C27*(1-'Input&amp;Output'!$D$6/100)</f>
        <v>2.4792131686569685</v>
      </c>
      <c r="D28" s="11">
        <f>C28*'Input&amp;Output'!$D$7/1000</f>
        <v>3.718819752985453</v>
      </c>
      <c r="F28" s="4">
        <f>'Input&amp;Output'!$D$30*C28</f>
        <v>49.584263373139372</v>
      </c>
      <c r="G28" s="4">
        <f>'Input&amp;Output'!$D$30*D28</f>
        <v>74.376395059709054</v>
      </c>
      <c r="H28" s="11"/>
      <c r="I28" s="4">
        <f t="shared" si="4"/>
        <v>123.96065843284842</v>
      </c>
      <c r="M28" s="4">
        <f>'Input&amp;Output'!$D$20*(1+('Input&amp;Output'!$G$20/100))^ROW(A20)</f>
        <v>1.4859473959783542</v>
      </c>
      <c r="N28" s="4">
        <f>'Input&amp;Output'!$D$21*(1+('Input&amp;Output'!$G$21/100))^ROW(A20)</f>
        <v>7.9598931154332622</v>
      </c>
      <c r="O28" s="4">
        <f>'Input&amp;Output'!$D$22*(1+('Input&amp;Output'!$G$22/100))^ROW(A20)</f>
        <v>16.035677361064241</v>
      </c>
      <c r="P28" s="4">
        <f>('Input&amp;Output'!$D$23*'Input&amp;Output'!$D$27*12/1000000)*(1+('Input&amp;Output'!$G$23/100))^ROW(A20)</f>
        <v>0.43926841438126812</v>
      </c>
      <c r="Q28" s="4">
        <f>('Input&amp;Output'!$D$24*'Input&amp;Output'!$D$27*365/1000000)*((1+('Input&amp;Output'!$G$24/100))^ROW(A20))</f>
        <v>14.733224889023084</v>
      </c>
      <c r="R28" s="4">
        <f>'Input&amp;Output'!$D$25*((1+('Input&amp;Output'!$G$25/100))^ROW(A20))</f>
        <v>7.739368924972359</v>
      </c>
      <c r="S28" s="4">
        <f>'Input&amp;Output'!$D$10*'Input&amp;Output'!$D$26*(1+('Input&amp;Output'!$G$26/100))^ROW(A20)</f>
        <v>116.09053387458539</v>
      </c>
      <c r="T28" s="11"/>
      <c r="U28" s="4">
        <f t="shared" si="5"/>
        <v>164.48391397543796</v>
      </c>
      <c r="W28" s="4">
        <f t="shared" si="6"/>
        <v>123.96065843284842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4">
        <f t="shared" si="7"/>
        <v>164.48391397543796</v>
      </c>
      <c r="AI28" s="11"/>
      <c r="AJ28" s="11"/>
      <c r="AK28" s="4">
        <f t="shared" si="8"/>
        <v>0</v>
      </c>
      <c r="AL28" s="4">
        <f>AK28*('Input&amp;Output'!$D$32/100)</f>
        <v>0</v>
      </c>
      <c r="AM28" s="18"/>
      <c r="AN28" s="5"/>
      <c r="AO28" s="4">
        <f t="shared" si="9"/>
        <v>123.96065843284842</v>
      </c>
      <c r="AP28" s="11"/>
      <c r="AQ28" s="4">
        <f t="shared" si="10"/>
        <v>164.48391397543796</v>
      </c>
      <c r="AR28" s="4">
        <f t="shared" si="11"/>
        <v>0</v>
      </c>
      <c r="AS28" s="4">
        <f t="shared" si="1"/>
        <v>-40.523255542589538</v>
      </c>
      <c r="AU28" s="4">
        <f>AS28/(1+'Input&amp;Output'!$D$33/100)^A28</f>
        <v>-6.0235237231999905</v>
      </c>
      <c r="AV28" s="14"/>
      <c r="AW28" s="4">
        <f t="shared" si="12"/>
        <v>1245.2678911305975</v>
      </c>
      <c r="AX28" s="4">
        <f t="shared" si="2"/>
        <v>0</v>
      </c>
      <c r="AZ28" s="4">
        <f t="shared" si="3"/>
        <v>-40.523255542589538</v>
      </c>
      <c r="BA28" s="4">
        <f t="shared" si="3"/>
        <v>-1.0570107576483805</v>
      </c>
      <c r="BB28" s="4">
        <f t="shared" si="3"/>
        <v>-4.8433250265121873E-2</v>
      </c>
      <c r="BC28" s="4">
        <f t="shared" si="3"/>
        <v>-3.3520051342362015E-3</v>
      </c>
      <c r="BD28" s="4">
        <f t="shared" si="3"/>
        <v>-3.1787342856473528E-4</v>
      </c>
      <c r="BE28" s="4">
        <f t="shared" si="3"/>
        <v>-3.864598802813486E-5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84.29494979551751</v>
      </c>
      <c r="D30" s="12">
        <f>SUM(D9:D29)</f>
        <v>126.44242469327631</v>
      </c>
      <c r="F30" s="12">
        <f>SUM(F9:F29)</f>
        <v>1685.8989959103508</v>
      </c>
      <c r="G30" s="12">
        <f>SUM(G9:G29)</f>
        <v>2528.8484938655256</v>
      </c>
      <c r="I30" s="12">
        <f>SUM(I9:I29)</f>
        <v>4214.7474897758757</v>
      </c>
      <c r="M30" s="12">
        <f t="shared" ref="M30:W30" si="13">SUM(M9:M29)</f>
        <v>24.783317194896075</v>
      </c>
      <c r="N30" s="12">
        <f t="shared" si="13"/>
        <v>104.15775542409848</v>
      </c>
      <c r="O30" s="12">
        <f t="shared" si="13"/>
        <v>194.9636333788014</v>
      </c>
      <c r="P30" s="12">
        <f t="shared" si="13"/>
        <v>8.0061098525080752</v>
      </c>
      <c r="Q30" s="12">
        <f t="shared" si="13"/>
        <v>137.97547377925386</v>
      </c>
      <c r="R30" s="12">
        <f t="shared" si="13"/>
        <v>87.730353567434619</v>
      </c>
      <c r="S30" s="12">
        <f t="shared" si="13"/>
        <v>1315.9553035115193</v>
      </c>
      <c r="U30" s="12">
        <f t="shared" si="13"/>
        <v>1873.5719467085121</v>
      </c>
      <c r="W30" s="12">
        <f t="shared" si="13"/>
        <v>4214.7474897758757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2192.2691298419163</v>
      </c>
      <c r="AL30" s="12">
        <f>SUM(AL9:AL29)</f>
        <v>876.90765193676668</v>
      </c>
      <c r="AM30" s="19" t="s">
        <v>82</v>
      </c>
      <c r="AO30" s="12">
        <f>SUM(AO8:AO29)</f>
        <v>4214.7474897758757</v>
      </c>
      <c r="AP30" s="12">
        <f>SUM(AP8:AP29)</f>
        <v>219</v>
      </c>
      <c r="AQ30" s="12">
        <f>SUM(AQ8:AQ29)</f>
        <v>1873.5719467085121</v>
      </c>
      <c r="AR30" s="12">
        <f>SUM(AR8:AR29)</f>
        <v>876.90765193676668</v>
      </c>
      <c r="AS30" s="12">
        <f>SUM(AS8:AS29)</f>
        <v>1245.2678911305975</v>
      </c>
      <c r="AU30" s="15">
        <f>SUM(AU8:AU29)</f>
        <v>684.80536887124595</v>
      </c>
      <c r="AX30" s="16">
        <f>SUM(AX8:AX29)</f>
        <v>1.2468194384566678</v>
      </c>
      <c r="AZ30" s="12">
        <f t="shared" ref="AZ30:BE30" si="14">SUM(AZ8:AZ29)</f>
        <v>1245.2678911305975</v>
      </c>
      <c r="BA30" s="12">
        <f t="shared" si="14"/>
        <v>407.02583384363635</v>
      </c>
      <c r="BB30" s="12">
        <f t="shared" si="14"/>
        <v>156.30227918521811</v>
      </c>
      <c r="BC30" s="12">
        <f t="shared" si="14"/>
        <v>46.299131730590837</v>
      </c>
      <c r="BD30" s="12">
        <f t="shared" si="14"/>
        <v>-14.283542052813148</v>
      </c>
      <c r="BE30" s="12">
        <f t="shared" si="14"/>
        <v>-52.447896069979123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684.80536887124595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0.74297575137530991</v>
      </c>
    </row>
    <row r="34" spans="45:48" ht="12" customHeight="1" thickBot="1" x14ac:dyDescent="0.25">
      <c r="AS34" s="75" t="s">
        <v>136</v>
      </c>
      <c r="AT34" s="76"/>
      <c r="AU34" s="77">
        <f>AX30</f>
        <v>1.2468194384566678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3.1269651546632233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B434-381A-4C3D-ACA3-877F10C376B2}">
  <dimension ref="A1:BM35"/>
  <sheetViews>
    <sheetView workbookViewId="0">
      <selection activeCell="AW10" sqref="AW10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'Cash Flow'!M8:S8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'Input&amp;Output'!$D$5*365*1.5/1000</f>
        <v>10.95</v>
      </c>
      <c r="D9" s="4">
        <f>C9*'Input&amp;Output'!$D$7/1000</f>
        <v>16.425000000000001</v>
      </c>
      <c r="F9" s="4">
        <f>'Input&amp;Output'!$D$30*C9</f>
        <v>219</v>
      </c>
      <c r="G9" s="4">
        <f>'Input&amp;Output'!$D$30*D9</f>
        <v>328.5</v>
      </c>
      <c r="I9" s="4">
        <f>SUM(F9:G9)</f>
        <v>547.5</v>
      </c>
      <c r="M9" s="4" cm="1">
        <f t="array" ref="M9:U28">'Cash Flow'!M9:U28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v>46.482600000000005</v>
      </c>
      <c r="U9" s="4">
        <v>46.482600000000005</v>
      </c>
      <c r="W9" s="4" cm="1">
        <f t="array" ref="W9:W28">I9:I28</f>
        <v>547.5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479.11740000000003</v>
      </c>
      <c r="AL9" s="4">
        <f>AK9*('Input&amp;Output'!$D$32/100)</f>
        <v>191.64696000000004</v>
      </c>
      <c r="AM9" s="8"/>
      <c r="AN9" s="5"/>
      <c r="AO9" s="4" cm="1">
        <f t="array" ref="AO9:AO28">W9:W28</f>
        <v>547.5</v>
      </c>
      <c r="AQ9" s="4" cm="1">
        <f t="array" ref="AQ9:AQ28">U9:U28</f>
        <v>46.482600000000005</v>
      </c>
      <c r="AR9" s="4" cm="1">
        <f t="array" ref="AR9:AR28">AL9:AL28</f>
        <v>191.64696000000004</v>
      </c>
      <c r="AS9" s="4">
        <f t="shared" ref="AS9:AS28" si="0">AO9-AP9-AQ9-AR9</f>
        <v>309.37043999999997</v>
      </c>
      <c r="AU9" s="4">
        <f>AS9/(1+'Input&amp;Output'!$D$33/100)^A9</f>
        <v>281.24585454545451</v>
      </c>
      <c r="AW9" s="4">
        <f>AW8+AS9</f>
        <v>90.370439999999974</v>
      </c>
      <c r="AX9" s="4">
        <f t="shared" ref="AX9:AX28" si="1">IF(AND(AW9&gt;0,AW8&lt;0),A8+ABS(AW8/AS9),0)</f>
        <v>0.70788922173689262</v>
      </c>
      <c r="AZ9" s="4">
        <f t="shared" ref="AZ9:BE28" si="2">$AS9/(1+AZ$5)^$A9</f>
        <v>309.37043999999997</v>
      </c>
      <c r="BA9" s="4">
        <f t="shared" si="2"/>
        <v>257.80869999999999</v>
      </c>
      <c r="BB9" s="4">
        <f t="shared" si="2"/>
        <v>220.9788857142857</v>
      </c>
      <c r="BC9" s="4">
        <f t="shared" si="2"/>
        <v>193.35652499999998</v>
      </c>
      <c r="BD9" s="4">
        <f t="shared" si="2"/>
        <v>171.87246666666664</v>
      </c>
      <c r="BE9" s="4">
        <f t="shared" si="2"/>
        <v>154.68521999999999</v>
      </c>
    </row>
    <row r="10" spans="1:65" ht="12" customHeight="1" x14ac:dyDescent="0.2">
      <c r="A10" s="8">
        <v>2</v>
      </c>
      <c r="C10" s="4">
        <f>C9*(1-'Input&amp;Output'!$D$6/100)</f>
        <v>10.402499999999998</v>
      </c>
      <c r="D10" s="4">
        <f>C10*'Input&amp;Output'!$D$7/1000</f>
        <v>15.603749999999996</v>
      </c>
      <c r="F10" s="4">
        <f>'Input&amp;Output'!$D$30*C10</f>
        <v>208.04999999999995</v>
      </c>
      <c r="G10" s="4">
        <f>'Input&amp;Output'!$D$30*D10</f>
        <v>312.07499999999993</v>
      </c>
      <c r="I10" s="4">
        <f t="shared" ref="I10:I28" si="3">SUM(F10:G10)</f>
        <v>520.12499999999989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v>49.619836000000006</v>
      </c>
      <c r="U10" s="4">
        <v>49.619836000000006</v>
      </c>
      <c r="W10" s="4">
        <v>520.12499999999989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4">MAX(0,W10-AH10-AG10)</f>
        <v>448.60516399999989</v>
      </c>
      <c r="AL10" s="4">
        <f>AK10*('Input&amp;Output'!$D$32/100)</f>
        <v>179.44206559999998</v>
      </c>
      <c r="AM10" s="8"/>
      <c r="AN10" s="5"/>
      <c r="AO10" s="4">
        <v>520.12499999999989</v>
      </c>
      <c r="AQ10" s="4">
        <v>49.619836000000006</v>
      </c>
      <c r="AR10" s="4">
        <v>179.44206559999998</v>
      </c>
      <c r="AS10" s="4">
        <f t="shared" si="0"/>
        <v>291.06309839999989</v>
      </c>
      <c r="AU10" s="4">
        <f>AS10/(1+'Input&amp;Output'!$D$33/100)^A10</f>
        <v>240.54801520661144</v>
      </c>
      <c r="AW10" s="4">
        <f t="shared" ref="AW10:AW28" si="5">AW9+AS10</f>
        <v>381.43353839999986</v>
      </c>
      <c r="AX10" s="4">
        <f t="shared" si="1"/>
        <v>0</v>
      </c>
      <c r="AZ10" s="4">
        <f t="shared" si="2"/>
        <v>291.06309839999989</v>
      </c>
      <c r="BA10" s="4">
        <f t="shared" si="2"/>
        <v>202.12715166666661</v>
      </c>
      <c r="BB10" s="4">
        <f t="shared" si="2"/>
        <v>148.50158081632648</v>
      </c>
      <c r="BC10" s="4">
        <f t="shared" si="2"/>
        <v>113.69652281249994</v>
      </c>
      <c r="BD10" s="4">
        <f t="shared" si="2"/>
        <v>89.834289629629595</v>
      </c>
      <c r="BE10" s="4">
        <f t="shared" si="2"/>
        <v>72.765774599999972</v>
      </c>
    </row>
    <row r="11" spans="1:65" ht="12" customHeight="1" x14ac:dyDescent="0.2">
      <c r="A11" s="8">
        <v>3</v>
      </c>
      <c r="C11" s="4">
        <f>C10*(1-'Input&amp;Output'!$D$6/100)</f>
        <v>9.8823749999999979</v>
      </c>
      <c r="D11" s="4">
        <f>C11*'Input&amp;Output'!$D$7/1000</f>
        <v>14.823562499999996</v>
      </c>
      <c r="F11" s="4">
        <f>'Input&amp;Output'!$D$30*C11</f>
        <v>197.64749999999995</v>
      </c>
      <c r="G11" s="4">
        <f>'Input&amp;Output'!$D$30*D11</f>
        <v>296.47124999999994</v>
      </c>
      <c r="I11" s="4">
        <f t="shared" si="3"/>
        <v>494.11874999999986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v>52.976337360000002</v>
      </c>
      <c r="U11" s="4">
        <v>52.976337360000002</v>
      </c>
      <c r="W11" s="4">
        <v>494.11874999999986</v>
      </c>
      <c r="AG11" s="4">
        <f>IF(A11&lt;='Input&amp;Output'!$D$38,$K$8/'Input&amp;Output'!$D$38,0)</f>
        <v>21.9</v>
      </c>
      <c r="AH11" s="4">
        <v>52.976337360000002</v>
      </c>
      <c r="AK11" s="4">
        <f t="shared" si="4"/>
        <v>419.24241263999988</v>
      </c>
      <c r="AL11" s="4">
        <f>AK11*('Input&amp;Output'!$D$32/100)</f>
        <v>167.69696505599995</v>
      </c>
      <c r="AM11" s="8"/>
      <c r="AN11" s="5"/>
      <c r="AO11" s="4">
        <v>494.11874999999986</v>
      </c>
      <c r="AQ11" s="4">
        <v>52.976337360000002</v>
      </c>
      <c r="AR11" s="4">
        <v>167.69696505599995</v>
      </c>
      <c r="AS11" s="4">
        <f t="shared" si="0"/>
        <v>273.44544758399991</v>
      </c>
      <c r="AU11" s="4">
        <f>AS11/(1+'Input&amp;Output'!$D$33/100)^A11</f>
        <v>205.44361200901565</v>
      </c>
      <c r="AW11" s="4">
        <f t="shared" si="5"/>
        <v>654.87898598399977</v>
      </c>
      <c r="AX11" s="4">
        <f t="shared" si="1"/>
        <v>0</v>
      </c>
      <c r="AZ11" s="4">
        <f t="shared" si="2"/>
        <v>273.44544758399991</v>
      </c>
      <c r="BA11" s="4">
        <f t="shared" si="2"/>
        <v>158.24389327777772</v>
      </c>
      <c r="BB11" s="4">
        <f t="shared" si="2"/>
        <v>99.652131043731771</v>
      </c>
      <c r="BC11" s="4">
        <f t="shared" si="2"/>
        <v>66.759142476562459</v>
      </c>
      <c r="BD11" s="4">
        <f t="shared" si="2"/>
        <v>46.887079489711915</v>
      </c>
      <c r="BE11" s="4">
        <f t="shared" si="2"/>
        <v>34.180680947999988</v>
      </c>
    </row>
    <row r="12" spans="1:65" ht="12" customHeight="1" x14ac:dyDescent="0.2">
      <c r="A12" s="8">
        <v>4</v>
      </c>
      <c r="C12" s="4">
        <f>C11*(1-'Input&amp;Output'!$D$6/100)</f>
        <v>9.3882562499999977</v>
      </c>
      <c r="D12" s="4">
        <f>C12*'Input&amp;Output'!$D$7/1000</f>
        <v>14.082384374999997</v>
      </c>
      <c r="F12" s="4">
        <f>'Input&amp;Output'!$D$30*C12</f>
        <v>187.76512499999995</v>
      </c>
      <c r="G12" s="4">
        <f>'Input&amp;Output'!$D$30*D12</f>
        <v>281.64768749999996</v>
      </c>
      <c r="I12" s="4">
        <f t="shared" si="3"/>
        <v>469.41281249999992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v>56.567804473600006</v>
      </c>
      <c r="U12" s="4">
        <v>56.567804473600006</v>
      </c>
      <c r="W12" s="4">
        <v>469.41281249999992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4"/>
        <v>390.94500802639993</v>
      </c>
      <c r="AL12" s="4">
        <f>AK12*('Input&amp;Output'!$D$32/100)</f>
        <v>156.37800321056</v>
      </c>
      <c r="AM12" s="8"/>
      <c r="AN12" s="5"/>
      <c r="AO12" s="4">
        <v>469.41281249999992</v>
      </c>
      <c r="AQ12" s="4">
        <v>56.567804473600006</v>
      </c>
      <c r="AR12" s="4">
        <v>156.37800321056</v>
      </c>
      <c r="AS12" s="4">
        <f t="shared" si="0"/>
        <v>256.46700481583991</v>
      </c>
      <c r="AU12" s="4">
        <f>AS12/(1+'Input&amp;Output'!$D$33/100)^A12</f>
        <v>175.170415146397</v>
      </c>
      <c r="AW12" s="4">
        <f t="shared" si="5"/>
        <v>911.34599079983968</v>
      </c>
      <c r="AX12" s="4">
        <f t="shared" si="1"/>
        <v>0</v>
      </c>
      <c r="AZ12" s="4">
        <f t="shared" si="2"/>
        <v>256.46700481583991</v>
      </c>
      <c r="BA12" s="4">
        <f t="shared" si="2"/>
        <v>123.68200463726848</v>
      </c>
      <c r="BB12" s="4">
        <f t="shared" si="2"/>
        <v>66.760465643440227</v>
      </c>
      <c r="BC12" s="4">
        <f t="shared" si="2"/>
        <v>39.13375927976071</v>
      </c>
      <c r="BD12" s="4">
        <f t="shared" si="2"/>
        <v>24.431013261682658</v>
      </c>
      <c r="BE12" s="4">
        <f t="shared" si="2"/>
        <v>16.029187800989995</v>
      </c>
    </row>
    <row r="13" spans="1:65" ht="12" customHeight="1" x14ac:dyDescent="0.2">
      <c r="A13" s="8">
        <v>5</v>
      </c>
      <c r="C13" s="4">
        <f>C12*(1-'Input&amp;Output'!$D$6/100)</f>
        <v>8.9188434374999979</v>
      </c>
      <c r="D13" s="4">
        <f>C13*'Input&amp;Output'!$D$7/1000</f>
        <v>13.378265156249997</v>
      </c>
      <c r="F13" s="4">
        <f>'Input&amp;Output'!$D$30*C13</f>
        <v>178.37686874999997</v>
      </c>
      <c r="G13" s="4">
        <f>'Input&amp;Output'!$D$30*D13</f>
        <v>267.56530312499996</v>
      </c>
      <c r="I13" s="4">
        <f t="shared" si="3"/>
        <v>445.94217187499993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v>60.411089279136007</v>
      </c>
      <c r="U13" s="4">
        <v>60.411089279136007</v>
      </c>
      <c r="W13" s="4">
        <v>445.94217187499993</v>
      </c>
      <c r="AG13" s="4">
        <f>IF(A13&lt;='Input&amp;Output'!$D$38,$K$8/'Input&amp;Output'!$D$38,0)</f>
        <v>21.9</v>
      </c>
      <c r="AH13" s="4">
        <v>60.411089279136007</v>
      </c>
      <c r="AK13" s="4">
        <f t="shared" si="4"/>
        <v>363.63108259586397</v>
      </c>
      <c r="AL13" s="4">
        <f>AK13*('Input&amp;Output'!$D$32/100)</f>
        <v>145.45243303834559</v>
      </c>
      <c r="AM13" s="8"/>
      <c r="AN13" s="5"/>
      <c r="AO13" s="4">
        <v>445.94217187499993</v>
      </c>
      <c r="AQ13" s="4">
        <v>60.411089279136007</v>
      </c>
      <c r="AR13" s="4">
        <v>145.45243303834559</v>
      </c>
      <c r="AS13" s="4">
        <f t="shared" si="0"/>
        <v>240.07864955751836</v>
      </c>
      <c r="AU13" s="4">
        <f>AS13/(1+'Input&amp;Output'!$D$33/100)^A13</f>
        <v>149.06995272150951</v>
      </c>
      <c r="AW13" s="4">
        <f t="shared" si="5"/>
        <v>1151.4246403573579</v>
      </c>
      <c r="AX13" s="4">
        <f t="shared" si="1"/>
        <v>0</v>
      </c>
      <c r="AZ13" s="4">
        <f t="shared" si="2"/>
        <v>240.07864955751836</v>
      </c>
      <c r="BA13" s="4">
        <f t="shared" si="2"/>
        <v>96.482224777166266</v>
      </c>
      <c r="BB13" s="4">
        <f t="shared" si="2"/>
        <v>44.638887360459641</v>
      </c>
      <c r="BC13" s="4">
        <f t="shared" si="2"/>
        <v>22.895684200050184</v>
      </c>
      <c r="BD13" s="4">
        <f t="shared" si="2"/>
        <v>12.705478159956048</v>
      </c>
      <c r="BE13" s="4">
        <f t="shared" si="2"/>
        <v>7.5024577986724488</v>
      </c>
    </row>
    <row r="14" spans="1:65" ht="12" customHeight="1" x14ac:dyDescent="0.2">
      <c r="A14" s="8">
        <v>6</v>
      </c>
      <c r="C14" s="4">
        <f>C13*(1-'Input&amp;Output'!$D$6/100)</f>
        <v>8.4729012656249978</v>
      </c>
      <c r="D14" s="4">
        <f>C14*'Input&amp;Output'!$D$7/1000</f>
        <v>12.709351898437497</v>
      </c>
      <c r="F14" s="4">
        <f>'Input&amp;Output'!$D$30*C14</f>
        <v>169.45802531249996</v>
      </c>
      <c r="G14" s="4">
        <f>'Input&amp;Output'!$D$30*D14</f>
        <v>254.18703796874993</v>
      </c>
      <c r="I14" s="4">
        <f t="shared" si="3"/>
        <v>423.64506328124992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v>64.524282005803371</v>
      </c>
      <c r="U14" s="4">
        <v>64.524282005803371</v>
      </c>
      <c r="W14" s="4">
        <v>423.64506328124992</v>
      </c>
      <c r="AG14" s="4">
        <f>IF(A14&lt;='Input&amp;Output'!$D$38,$K$8/'Input&amp;Output'!$D$38,0)</f>
        <v>21.9</v>
      </c>
      <c r="AH14" s="4">
        <v>64.524282005803371</v>
      </c>
      <c r="AK14" s="4">
        <f t="shared" si="4"/>
        <v>337.2207812754466</v>
      </c>
      <c r="AL14" s="4">
        <f>AK14*('Input&amp;Output'!$D$32/100)</f>
        <v>134.88831251017865</v>
      </c>
      <c r="AM14" s="8"/>
      <c r="AN14" s="5"/>
      <c r="AO14" s="4">
        <v>423.64506328124992</v>
      </c>
      <c r="AQ14" s="4">
        <v>64.524282005803371</v>
      </c>
      <c r="AR14" s="4">
        <v>134.88831251017865</v>
      </c>
      <c r="AS14" s="4">
        <f t="shared" si="0"/>
        <v>224.23246876526792</v>
      </c>
      <c r="AU14" s="4">
        <f>AS14/(1+'Input&amp;Output'!$D$33/100)^A14</f>
        <v>126.57338288959161</v>
      </c>
      <c r="AW14" s="4">
        <f t="shared" si="5"/>
        <v>1375.6571091226258</v>
      </c>
      <c r="AX14" s="4">
        <f t="shared" si="1"/>
        <v>0</v>
      </c>
      <c r="AZ14" s="4">
        <f t="shared" si="2"/>
        <v>224.23246876526792</v>
      </c>
      <c r="BA14" s="4">
        <f t="shared" si="2"/>
        <v>75.095000095535653</v>
      </c>
      <c r="BB14" s="4">
        <f t="shared" si="2"/>
        <v>29.780383381561364</v>
      </c>
      <c r="BC14" s="4">
        <f t="shared" si="2"/>
        <v>13.36529664786266</v>
      </c>
      <c r="BD14" s="4">
        <f t="shared" si="2"/>
        <v>6.592702340348807</v>
      </c>
      <c r="BE14" s="4">
        <f t="shared" si="2"/>
        <v>3.5036323244573113</v>
      </c>
    </row>
    <row r="15" spans="1:65" ht="12" customHeight="1" x14ac:dyDescent="0.2">
      <c r="A15" s="8">
        <v>7</v>
      </c>
      <c r="C15" s="4">
        <f>C14*(1-'Input&amp;Output'!$D$6/100)</f>
        <v>8.0492562023437468</v>
      </c>
      <c r="D15" s="4">
        <f>C15*'Input&amp;Output'!$D$7/1000</f>
        <v>12.073884303515621</v>
      </c>
      <c r="F15" s="4">
        <f>'Input&amp;Output'!$D$30*C15</f>
        <v>160.98512404687494</v>
      </c>
      <c r="G15" s="4">
        <f>'Input&amp;Output'!$D$30*D15</f>
        <v>241.47768607031242</v>
      </c>
      <c r="I15" s="4">
        <f t="shared" si="3"/>
        <v>402.46281011718736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v>68.926804653643131</v>
      </c>
      <c r="U15" s="4">
        <v>68.926804653643131</v>
      </c>
      <c r="W15" s="4">
        <v>402.46281011718736</v>
      </c>
      <c r="AG15" s="4">
        <f>IF(A15&lt;='Input&amp;Output'!$D$38,$K$8/'Input&amp;Output'!$D$38,0)</f>
        <v>21.9</v>
      </c>
      <c r="AH15" s="4">
        <v>68.926804653643131</v>
      </c>
      <c r="AK15" s="4">
        <f t="shared" si="4"/>
        <v>311.63600546354428</v>
      </c>
      <c r="AL15" s="4">
        <f>AK15*('Input&amp;Output'!$D$32/100)</f>
        <v>124.65440218541772</v>
      </c>
      <c r="AM15" s="8"/>
      <c r="AN15" s="5"/>
      <c r="AO15" s="4">
        <v>402.46281011718736</v>
      </c>
      <c r="AQ15" s="4">
        <v>68.926804653643131</v>
      </c>
      <c r="AR15" s="4">
        <v>124.65440218541772</v>
      </c>
      <c r="AS15" s="4">
        <f t="shared" si="0"/>
        <v>208.88160327812653</v>
      </c>
      <c r="AU15" s="4">
        <f>AS15/(1+'Input&amp;Output'!$D$33/100)^A15</f>
        <v>107.18929047121637</v>
      </c>
      <c r="AW15" s="4">
        <f t="shared" si="5"/>
        <v>1584.5387124007523</v>
      </c>
      <c r="AX15" s="4">
        <f t="shared" si="1"/>
        <v>0</v>
      </c>
      <c r="AZ15" s="4">
        <f t="shared" si="2"/>
        <v>208.88160327812653</v>
      </c>
      <c r="BA15" s="4">
        <f t="shared" si="2"/>
        <v>58.295021919666056</v>
      </c>
      <c r="BB15" s="4">
        <f t="shared" si="2"/>
        <v>19.815450141769944</v>
      </c>
      <c r="BC15" s="4">
        <f t="shared" si="2"/>
        <v>7.7814461021917456</v>
      </c>
      <c r="BD15" s="4">
        <f t="shared" si="2"/>
        <v>3.4118714246535218</v>
      </c>
      <c r="BE15" s="4">
        <f t="shared" si="2"/>
        <v>1.6318875256103635</v>
      </c>
    </row>
    <row r="16" spans="1:65" ht="12" customHeight="1" x14ac:dyDescent="0.2">
      <c r="A16" s="8">
        <v>8</v>
      </c>
      <c r="C16" s="4">
        <f>C15*(1-'Input&amp;Output'!$D$6/100)</f>
        <v>7.6467933922265594</v>
      </c>
      <c r="D16" s="4">
        <f>C16*'Input&amp;Output'!$D$7/1000</f>
        <v>11.470190088339839</v>
      </c>
      <c r="F16" s="4">
        <f>'Input&amp;Output'!$D$30*C16</f>
        <v>152.93586784453117</v>
      </c>
      <c r="G16" s="4">
        <f>'Input&amp;Output'!$D$30*D16</f>
        <v>229.40380176679679</v>
      </c>
      <c r="I16" s="4">
        <f t="shared" si="3"/>
        <v>382.33966961132796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v>73.63951174757122</v>
      </c>
      <c r="U16" s="4">
        <v>73.63951174757122</v>
      </c>
      <c r="W16" s="4">
        <v>382.33966961132796</v>
      </c>
      <c r="AG16" s="4">
        <f>IF(A16&lt;='Input&amp;Output'!$D$38,$K$8/'Input&amp;Output'!$D$38,0)</f>
        <v>21.9</v>
      </c>
      <c r="AH16" s="4">
        <v>73.63951174757122</v>
      </c>
      <c r="AK16" s="4">
        <f t="shared" si="4"/>
        <v>286.80015786375679</v>
      </c>
      <c r="AL16" s="4">
        <f>AK16*('Input&amp;Output'!$D$32/100)</f>
        <v>114.72006314550272</v>
      </c>
      <c r="AM16" s="8"/>
      <c r="AN16" s="5"/>
      <c r="AO16" s="4">
        <v>382.33966961132796</v>
      </c>
      <c r="AQ16" s="4">
        <v>73.63951174757122</v>
      </c>
      <c r="AR16" s="4">
        <v>114.72006314550272</v>
      </c>
      <c r="AS16" s="4">
        <f t="shared" si="0"/>
        <v>193.98009471825407</v>
      </c>
      <c r="AU16" s="4">
        <f>AS16/(1+'Input&amp;Output'!$D$33/100)^A16</f>
        <v>90.493145799848605</v>
      </c>
      <c r="AW16" s="4">
        <f t="shared" si="5"/>
        <v>1778.5188071190064</v>
      </c>
      <c r="AX16" s="4">
        <f t="shared" si="1"/>
        <v>0</v>
      </c>
      <c r="AZ16" s="4">
        <f t="shared" si="2"/>
        <v>193.98009471825407</v>
      </c>
      <c r="BA16" s="4">
        <f t="shared" si="2"/>
        <v>45.113570303758721</v>
      </c>
      <c r="BB16" s="4">
        <f t="shared" si="2"/>
        <v>13.144161350811249</v>
      </c>
      <c r="BC16" s="4">
        <f t="shared" si="2"/>
        <v>4.5164510309289652</v>
      </c>
      <c r="BD16" s="4">
        <f t="shared" si="2"/>
        <v>1.7602612403234608</v>
      </c>
      <c r="BE16" s="4">
        <f t="shared" si="2"/>
        <v>0.75773474499317994</v>
      </c>
    </row>
    <row r="17" spans="1:57" ht="12" customHeight="1" x14ac:dyDescent="0.2">
      <c r="A17" s="8">
        <v>9</v>
      </c>
      <c r="C17" s="4">
        <f>C16*(1-'Input&amp;Output'!$D$6/100)</f>
        <v>7.2644537226152313</v>
      </c>
      <c r="D17" s="4">
        <f>C17*'Input&amp;Output'!$D$7/1000</f>
        <v>10.896680583922848</v>
      </c>
      <c r="F17" s="4">
        <f>'Input&amp;Output'!$D$30*C17</f>
        <v>145.28907445230462</v>
      </c>
      <c r="G17" s="4">
        <f>'Input&amp;Output'!$D$30*D17</f>
        <v>217.93361167845694</v>
      </c>
      <c r="I17" s="4">
        <f t="shared" si="3"/>
        <v>363.22268613076153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v>78.684798950472654</v>
      </c>
      <c r="U17" s="4">
        <v>78.684798950472654</v>
      </c>
      <c r="W17" s="4">
        <v>363.22268613076153</v>
      </c>
      <c r="AG17" s="4">
        <f>IF(A17&lt;='Input&amp;Output'!$D$38,$K$8/'Input&amp;Output'!$D$38,0)</f>
        <v>21.9</v>
      </c>
      <c r="AH17" s="4">
        <v>78.684798950472654</v>
      </c>
      <c r="AK17" s="4">
        <f t="shared" si="4"/>
        <v>262.63788718028889</v>
      </c>
      <c r="AL17" s="4">
        <f>AK17*('Input&amp;Output'!$D$32/100)</f>
        <v>105.05515487211557</v>
      </c>
      <c r="AM17" s="8"/>
      <c r="AN17" s="5"/>
      <c r="AO17" s="4">
        <v>363.22268613076153</v>
      </c>
      <c r="AQ17" s="4">
        <v>78.684798950472654</v>
      </c>
      <c r="AR17" s="4">
        <v>105.05515487211557</v>
      </c>
      <c r="AS17" s="4">
        <f t="shared" si="0"/>
        <v>179.4827323081733</v>
      </c>
      <c r="AU17" s="4">
        <f>AS17/(1+'Input&amp;Output'!$D$33/100)^A17</f>
        <v>76.118199310882503</v>
      </c>
      <c r="AW17" s="4">
        <f t="shared" si="5"/>
        <v>1958.0015394271798</v>
      </c>
      <c r="AX17" s="4">
        <f t="shared" si="1"/>
        <v>0</v>
      </c>
      <c r="AZ17" s="4">
        <f t="shared" si="2"/>
        <v>179.4827323081733</v>
      </c>
      <c r="BA17" s="4">
        <f t="shared" si="2"/>
        <v>34.784955960112413</v>
      </c>
      <c r="BB17" s="4">
        <f t="shared" si="2"/>
        <v>8.6870105946018956</v>
      </c>
      <c r="BC17" s="4">
        <f t="shared" si="2"/>
        <v>2.6118175055041957</v>
      </c>
      <c r="BD17" s="4">
        <f t="shared" si="2"/>
        <v>0.90483653160481359</v>
      </c>
      <c r="BE17" s="4">
        <f t="shared" si="2"/>
        <v>0.35055221153940097</v>
      </c>
    </row>
    <row r="18" spans="1:57" ht="12" customHeight="1" x14ac:dyDescent="0.2">
      <c r="A18" s="8">
        <v>10</v>
      </c>
      <c r="C18" s="4">
        <f>C17*(1-'Input&amp;Output'!$D$6/100)</f>
        <v>6.9012310364844698</v>
      </c>
      <c r="D18" s="4">
        <f>C18*'Input&amp;Output'!$D$7/1000</f>
        <v>10.351846554726704</v>
      </c>
      <c r="F18" s="4">
        <f>'Input&amp;Output'!$D$30*C18</f>
        <v>138.02462072968939</v>
      </c>
      <c r="G18" s="4">
        <f>'Input&amp;Output'!$D$30*D18</f>
        <v>207.03693109453408</v>
      </c>
      <c r="I18" s="4">
        <f t="shared" si="3"/>
        <v>345.06155182422344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v>84.086720169074482</v>
      </c>
      <c r="U18" s="4">
        <v>84.086720169074482</v>
      </c>
      <c r="W18" s="4">
        <v>345.06155182422344</v>
      </c>
      <c r="AG18" s="4">
        <f>IF(A18&lt;='Input&amp;Output'!$D$38,$K$8/'Input&amp;Output'!$D$38,0)</f>
        <v>21.9</v>
      </c>
      <c r="AH18" s="4">
        <v>84.086720169074482</v>
      </c>
      <c r="AK18" s="4">
        <f t="shared" si="4"/>
        <v>239.07483165514893</v>
      </c>
      <c r="AL18" s="4">
        <f>AK18*('Input&amp;Output'!$D$32/100)</f>
        <v>95.629932662059574</v>
      </c>
      <c r="AM18" s="8"/>
      <c r="AN18" s="5"/>
      <c r="AO18" s="4">
        <v>345.06155182422344</v>
      </c>
      <c r="AQ18" s="4">
        <v>84.086720169074482</v>
      </c>
      <c r="AR18" s="4">
        <v>95.629932662059574</v>
      </c>
      <c r="AS18" s="4">
        <f t="shared" si="0"/>
        <v>165.34489899308937</v>
      </c>
      <c r="AU18" s="4">
        <f>AS18/(1+'Input&amp;Output'!$D$33/100)^A18</f>
        <v>63.747616248189303</v>
      </c>
      <c r="AW18" s="4">
        <f t="shared" si="5"/>
        <v>2123.3464384202689</v>
      </c>
      <c r="AX18" s="4">
        <f t="shared" si="1"/>
        <v>0</v>
      </c>
      <c r="AZ18" s="4">
        <f t="shared" si="2"/>
        <v>165.34489899308937</v>
      </c>
      <c r="BA18" s="4">
        <f t="shared" si="2"/>
        <v>26.704124289741568</v>
      </c>
      <c r="BB18" s="4">
        <f t="shared" si="2"/>
        <v>5.7162398650700528</v>
      </c>
      <c r="BC18" s="4">
        <f t="shared" si="2"/>
        <v>1.5038030959939459</v>
      </c>
      <c r="BD18" s="4">
        <f t="shared" si="2"/>
        <v>0.46309037024666549</v>
      </c>
      <c r="BE18" s="4">
        <f t="shared" si="2"/>
        <v>0.16146962792293884</v>
      </c>
    </row>
    <row r="19" spans="1:57" ht="12" customHeight="1" x14ac:dyDescent="0.2">
      <c r="A19" s="8">
        <v>11</v>
      </c>
      <c r="C19" s="4">
        <f>C18*(1-'Input&amp;Output'!$D$6/100)</f>
        <v>6.5561694846602458</v>
      </c>
      <c r="D19" s="4">
        <f>C19*'Input&amp;Output'!$D$7/1000</f>
        <v>9.8342542269903674</v>
      </c>
      <c r="F19" s="4">
        <f>'Input&amp;Output'!$D$30*C19</f>
        <v>131.12338969320493</v>
      </c>
      <c r="G19" s="4">
        <f>'Input&amp;Output'!$D$30*D19</f>
        <v>196.68508453980735</v>
      </c>
      <c r="I19" s="4">
        <f t="shared" si="3"/>
        <v>327.80847423301225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v>89.871113839195871</v>
      </c>
      <c r="U19" s="4">
        <v>89.871113839195871</v>
      </c>
      <c r="W19" s="4">
        <v>327.80847423301225</v>
      </c>
      <c r="AG19" s="4">
        <f>IF(A19&lt;='Input&amp;Output'!$D$38,$K$8/'Input&amp;Output'!$D$38,0)</f>
        <v>0</v>
      </c>
      <c r="AH19" s="4">
        <v>89.871113839195871</v>
      </c>
      <c r="AK19" s="4">
        <f t="shared" si="4"/>
        <v>237.93736039381639</v>
      </c>
      <c r="AL19" s="4">
        <f>AK19*('Input&amp;Output'!$D$32/100)</f>
        <v>95.174944157526568</v>
      </c>
      <c r="AM19" s="8"/>
      <c r="AN19" s="5"/>
      <c r="AO19" s="4">
        <v>327.80847423301225</v>
      </c>
      <c r="AQ19" s="4">
        <v>89.871113839195871</v>
      </c>
      <c r="AR19" s="4">
        <v>95.174944157526568</v>
      </c>
      <c r="AS19" s="4">
        <f t="shared" si="0"/>
        <v>142.76241623628982</v>
      </c>
      <c r="AU19" s="4">
        <f>AS19/(1+'Input&amp;Output'!$D$33/100)^A19</f>
        <v>50.037355966042838</v>
      </c>
      <c r="AW19" s="4">
        <f t="shared" si="5"/>
        <v>2266.1088546565588</v>
      </c>
      <c r="AX19" s="4">
        <f t="shared" si="1"/>
        <v>0</v>
      </c>
      <c r="AZ19" s="4">
        <f t="shared" si="2"/>
        <v>142.76241623628982</v>
      </c>
      <c r="BA19" s="4">
        <f t="shared" si="2"/>
        <v>19.214106040837304</v>
      </c>
      <c r="BB19" s="4">
        <f t="shared" si="2"/>
        <v>3.5253764356170421</v>
      </c>
      <c r="BC19" s="4">
        <f t="shared" si="2"/>
        <v>0.81151038237004325</v>
      </c>
      <c r="BD19" s="4">
        <f t="shared" si="2"/>
        <v>0.2221346631421067</v>
      </c>
      <c r="BE19" s="4">
        <f t="shared" si="2"/>
        <v>6.970821105287589E-2</v>
      </c>
    </row>
    <row r="20" spans="1:57" ht="12" customHeight="1" x14ac:dyDescent="0.2">
      <c r="A20" s="8">
        <v>12</v>
      </c>
      <c r="C20" s="4">
        <f>C19*(1-'Input&amp;Output'!$D$6/100)</f>
        <v>6.2283610104272329</v>
      </c>
      <c r="D20" s="4">
        <f>C20*'Input&amp;Output'!$D$7/1000</f>
        <v>9.3425415156408498</v>
      </c>
      <c r="F20" s="4">
        <f>'Input&amp;Output'!$D$30*C20</f>
        <v>124.56722020854465</v>
      </c>
      <c r="G20" s="4">
        <f>'Input&amp;Output'!$D$30*D20</f>
        <v>186.85083031281698</v>
      </c>
      <c r="I20" s="4">
        <f t="shared" si="3"/>
        <v>311.41805052136164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v>96.065739134419545</v>
      </c>
      <c r="U20" s="4">
        <v>96.065739134419545</v>
      </c>
      <c r="W20" s="4">
        <v>311.41805052136164</v>
      </c>
      <c r="AG20" s="4">
        <f>IF(A20&lt;='Input&amp;Output'!$D$38,$K$8/'Input&amp;Output'!$D$38,0)</f>
        <v>0</v>
      </c>
      <c r="AH20" s="4">
        <v>96.065739134419545</v>
      </c>
      <c r="AK20" s="4">
        <f t="shared" si="4"/>
        <v>215.35231138694209</v>
      </c>
      <c r="AL20" s="4">
        <f>AK20*('Input&amp;Output'!$D$32/100)</f>
        <v>86.140924554776845</v>
      </c>
      <c r="AM20" s="8"/>
      <c r="AN20" s="5"/>
      <c r="AO20" s="4">
        <v>311.41805052136164</v>
      </c>
      <c r="AQ20" s="4">
        <v>96.065739134419545</v>
      </c>
      <c r="AR20" s="4">
        <v>86.140924554776845</v>
      </c>
      <c r="AS20" s="4">
        <f t="shared" si="0"/>
        <v>129.21138683216526</v>
      </c>
      <c r="AU20" s="4">
        <f>AS20/(1+'Input&amp;Output'!$D$33/100)^A20</f>
        <v>41.170729843822016</v>
      </c>
      <c r="AW20" s="4">
        <f t="shared" si="5"/>
        <v>2395.3202414887242</v>
      </c>
      <c r="AX20" s="4">
        <f t="shared" si="1"/>
        <v>0</v>
      </c>
      <c r="AZ20" s="4">
        <f t="shared" si="2"/>
        <v>129.21138683216526</v>
      </c>
      <c r="BA20" s="4">
        <f t="shared" si="2"/>
        <v>14.491916907176522</v>
      </c>
      <c r="BB20" s="4">
        <f t="shared" si="2"/>
        <v>2.2791051352537877</v>
      </c>
      <c r="BC20" s="4">
        <f t="shared" si="2"/>
        <v>0.4590510614554158</v>
      </c>
      <c r="BD20" s="4">
        <f t="shared" si="2"/>
        <v>0.11169422692602751</v>
      </c>
      <c r="BE20" s="4">
        <f t="shared" si="2"/>
        <v>3.1545748738321597E-2</v>
      </c>
    </row>
    <row r="21" spans="1:57" ht="12" customHeight="1" x14ac:dyDescent="0.2">
      <c r="A21" s="8">
        <v>13</v>
      </c>
      <c r="C21" s="4">
        <f>C20*(1-'Input&amp;Output'!$D$6/100)</f>
        <v>5.9169429599058709</v>
      </c>
      <c r="D21" s="4">
        <f>C21*'Input&amp;Output'!$D$7/1000</f>
        <v>8.8754144398588064</v>
      </c>
      <c r="F21" s="4">
        <f>'Input&amp;Output'!$D$30*C21</f>
        <v>118.33885919811742</v>
      </c>
      <c r="G21" s="4">
        <f>'Input&amp;Output'!$D$30*D21</f>
        <v>177.50828879717614</v>
      </c>
      <c r="I21" s="4">
        <f t="shared" si="3"/>
        <v>295.84714799529354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v>102.70042290464741</v>
      </c>
      <c r="U21" s="4">
        <v>102.70042290464741</v>
      </c>
      <c r="W21" s="4">
        <v>295.84714799529354</v>
      </c>
      <c r="AG21" s="4">
        <f>IF(A21&lt;='Input&amp;Output'!$D$38,$K$8/'Input&amp;Output'!$D$38,0)</f>
        <v>0</v>
      </c>
      <c r="AH21" s="4">
        <v>102.70042290464741</v>
      </c>
      <c r="AK21" s="4">
        <f t="shared" si="4"/>
        <v>193.14672509064613</v>
      </c>
      <c r="AL21" s="4">
        <f>AK21*('Input&amp;Output'!$D$32/100)</f>
        <v>77.258690036258457</v>
      </c>
      <c r="AM21" s="8"/>
      <c r="AN21" s="5"/>
      <c r="AO21" s="4">
        <v>295.84714799529354</v>
      </c>
      <c r="AQ21" s="4">
        <v>102.70042290464741</v>
      </c>
      <c r="AR21" s="4">
        <v>77.258690036258457</v>
      </c>
      <c r="AS21" s="4">
        <f t="shared" si="0"/>
        <v>115.88803505438767</v>
      </c>
      <c r="AU21" s="4">
        <f>AS21/(1+'Input&amp;Output'!$D$33/100)^A21</f>
        <v>33.568635792932731</v>
      </c>
      <c r="AW21" s="4">
        <f t="shared" si="5"/>
        <v>2511.2082765431119</v>
      </c>
      <c r="AX21" s="4">
        <f t="shared" si="1"/>
        <v>0</v>
      </c>
      <c r="AZ21" s="4">
        <f t="shared" si="2"/>
        <v>115.88803505438767</v>
      </c>
      <c r="BA21" s="4">
        <f t="shared" si="2"/>
        <v>10.831345284385277</v>
      </c>
      <c r="BB21" s="4">
        <f t="shared" si="2"/>
        <v>1.4600715390398933</v>
      </c>
      <c r="BC21" s="4">
        <f t="shared" si="2"/>
        <v>0.25732312959189652</v>
      </c>
      <c r="BD21" s="4">
        <f t="shared" si="2"/>
        <v>5.5653955045297659E-2</v>
      </c>
      <c r="BE21" s="4">
        <f t="shared" si="2"/>
        <v>1.4146488654100058E-2</v>
      </c>
    </row>
    <row r="22" spans="1:57" ht="12" customHeight="1" x14ac:dyDescent="0.2">
      <c r="A22" s="8">
        <v>14</v>
      </c>
      <c r="C22" s="4">
        <f>C21*(1-'Input&amp;Output'!$D$6/100)</f>
        <v>5.6210958119105774</v>
      </c>
      <c r="D22" s="4">
        <f>C22*'Input&amp;Output'!$D$7/1000</f>
        <v>8.4316437178658656</v>
      </c>
      <c r="F22" s="4">
        <f>'Input&amp;Output'!$D$30*C22</f>
        <v>112.42191623821155</v>
      </c>
      <c r="G22" s="4">
        <f>'Input&amp;Output'!$D$30*D22</f>
        <v>168.63287435731732</v>
      </c>
      <c r="I22" s="4">
        <f t="shared" si="3"/>
        <v>281.05479059552886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v>109.80721821883162</v>
      </c>
      <c r="U22" s="4">
        <v>109.80721821883162</v>
      </c>
      <c r="W22" s="4">
        <v>281.05479059552886</v>
      </c>
      <c r="AG22" s="4">
        <f>IF(A22&lt;='Input&amp;Output'!$D$38,$K$8/'Input&amp;Output'!$D$38,0)</f>
        <v>0</v>
      </c>
      <c r="AH22" s="4">
        <v>109.80721821883162</v>
      </c>
      <c r="AK22" s="4">
        <f t="shared" si="4"/>
        <v>171.24757237669724</v>
      </c>
      <c r="AL22" s="4">
        <f>AK22*('Input&amp;Output'!$D$32/100)</f>
        <v>68.499028950678891</v>
      </c>
      <c r="AM22" s="8"/>
      <c r="AN22" s="5"/>
      <c r="AO22" s="4">
        <v>281.05479059552886</v>
      </c>
      <c r="AQ22" s="4">
        <v>109.80721821883162</v>
      </c>
      <c r="AR22" s="4">
        <v>68.499028950678891</v>
      </c>
      <c r="AS22" s="4">
        <f t="shared" si="0"/>
        <v>102.74854342601834</v>
      </c>
      <c r="AU22" s="4">
        <f>AS22/(1+'Input&amp;Output'!$D$33/100)^A22</f>
        <v>27.056902818496113</v>
      </c>
      <c r="AW22" s="4">
        <f t="shared" si="5"/>
        <v>2613.9568199691303</v>
      </c>
      <c r="AX22" s="4">
        <f t="shared" si="1"/>
        <v>0</v>
      </c>
      <c r="AZ22" s="4">
        <f t="shared" si="2"/>
        <v>102.74854342601834</v>
      </c>
      <c r="BA22" s="4">
        <f t="shared" si="2"/>
        <v>8.002731190731927</v>
      </c>
      <c r="BB22" s="4">
        <f t="shared" si="2"/>
        <v>0.92466234982589379</v>
      </c>
      <c r="BC22" s="4">
        <f t="shared" si="2"/>
        <v>0.14259224832282896</v>
      </c>
      <c r="BD22" s="4">
        <f t="shared" si="2"/>
        <v>2.7413254785668015E-2</v>
      </c>
      <c r="BE22" s="4">
        <f t="shared" si="2"/>
        <v>6.2712734024669399E-3</v>
      </c>
    </row>
    <row r="23" spans="1:57" ht="12" customHeight="1" x14ac:dyDescent="0.2">
      <c r="A23" s="8">
        <v>15</v>
      </c>
      <c r="C23" s="4">
        <f>C22*(1-'Input&amp;Output'!$D$6/100)</f>
        <v>5.3400410213150487</v>
      </c>
      <c r="D23" s="4">
        <f>C23*'Input&amp;Output'!$D$7/1000</f>
        <v>8.010061531972573</v>
      </c>
      <c r="F23" s="4">
        <f>'Input&amp;Output'!$D$30*C23</f>
        <v>106.80082042630097</v>
      </c>
      <c r="G23" s="4">
        <f>'Input&amp;Output'!$D$30*D23</f>
        <v>160.20123063945147</v>
      </c>
      <c r="I23" s="4">
        <f t="shared" si="3"/>
        <v>267.00205106575243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v>117.42057545990087</v>
      </c>
      <c r="U23" s="4">
        <v>117.42057545990087</v>
      </c>
      <c r="W23" s="4">
        <v>267.00205106575243</v>
      </c>
      <c r="AG23" s="4">
        <f>IF(A23&lt;='Input&amp;Output'!$D$38,$K$8/'Input&amp;Output'!$D$38,0)</f>
        <v>0</v>
      </c>
      <c r="AH23" s="4">
        <v>117.42057545990087</v>
      </c>
      <c r="AK23" s="4">
        <f t="shared" si="4"/>
        <v>149.58147560585155</v>
      </c>
      <c r="AL23" s="4">
        <f>AK23*('Input&amp;Output'!$D$32/100)</f>
        <v>59.832590242340622</v>
      </c>
      <c r="AM23" s="8"/>
      <c r="AN23" s="5"/>
      <c r="AO23" s="4">
        <v>267.00205106575243</v>
      </c>
      <c r="AQ23" s="4">
        <v>117.42057545990087</v>
      </c>
      <c r="AR23" s="4">
        <v>59.832590242340622</v>
      </c>
      <c r="AS23" s="4">
        <f t="shared" si="0"/>
        <v>89.748885363510936</v>
      </c>
      <c r="AU23" s="4">
        <f>AS23/(1+'Input&amp;Output'!$D$33/100)^A23</f>
        <v>21.485169595768998</v>
      </c>
      <c r="AW23" s="4">
        <f t="shared" si="5"/>
        <v>2703.7057053326412</v>
      </c>
      <c r="AX23" s="4">
        <f t="shared" si="1"/>
        <v>0</v>
      </c>
      <c r="AZ23" s="4">
        <f t="shared" si="2"/>
        <v>89.748885363510936</v>
      </c>
      <c r="BA23" s="4">
        <f t="shared" si="2"/>
        <v>5.8251937228120898</v>
      </c>
      <c r="BB23" s="4">
        <f t="shared" si="2"/>
        <v>0.57691061294864643</v>
      </c>
      <c r="BC23" s="4">
        <f t="shared" si="2"/>
        <v>7.7844749191416707E-2</v>
      </c>
      <c r="BD23" s="4">
        <f t="shared" si="2"/>
        <v>1.3302751764235869E-2</v>
      </c>
      <c r="BE23" s="4">
        <f t="shared" si="2"/>
        <v>2.738918620712614E-3</v>
      </c>
    </row>
    <row r="24" spans="1:57" ht="12" customHeight="1" x14ac:dyDescent="0.2">
      <c r="A24" s="8">
        <v>16</v>
      </c>
      <c r="C24" s="4">
        <f>C23*(1-'Input&amp;Output'!$D$6/100)</f>
        <v>5.0730389702492964</v>
      </c>
      <c r="D24" s="4">
        <f>C24*'Input&amp;Output'!$D$7/1000</f>
        <v>7.6095584553739446</v>
      </c>
      <c r="F24" s="4">
        <f>'Input&amp;Output'!$D$30*C24</f>
        <v>101.46077940498593</v>
      </c>
      <c r="G24" s="4">
        <f>'Input&amp;Output'!$D$30*D24</f>
        <v>152.19116910747888</v>
      </c>
      <c r="I24" s="4">
        <f t="shared" si="3"/>
        <v>253.6519485124648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v>125.57752700005267</v>
      </c>
      <c r="U24" s="4">
        <v>125.57752700005267</v>
      </c>
      <c r="W24" s="4">
        <v>253.6519485124648</v>
      </c>
      <c r="AG24" s="4">
        <f>IF(A24&lt;='Input&amp;Output'!$D$38,$K$8/'Input&amp;Output'!$D$38,0)</f>
        <v>0</v>
      </c>
      <c r="AH24" s="4">
        <v>125.57752700005267</v>
      </c>
      <c r="AK24" s="4">
        <f t="shared" si="4"/>
        <v>128.07442151241213</v>
      </c>
      <c r="AL24" s="4">
        <f>AK24*('Input&amp;Output'!$D$32/100)</f>
        <v>51.229768604964853</v>
      </c>
      <c r="AM24" s="8"/>
      <c r="AN24" s="5"/>
      <c r="AO24" s="4">
        <v>253.6519485124648</v>
      </c>
      <c r="AQ24" s="4">
        <v>125.57752700005267</v>
      </c>
      <c r="AR24" s="4">
        <v>51.229768604964853</v>
      </c>
      <c r="AS24" s="4">
        <f t="shared" si="0"/>
        <v>76.844652907447283</v>
      </c>
      <c r="AU24" s="4">
        <f>AS24/(1+'Input&amp;Output'!$D$33/100)^A24</f>
        <v>16.723635402341678</v>
      </c>
      <c r="AW24" s="4">
        <f t="shared" si="5"/>
        <v>2780.5503582400884</v>
      </c>
      <c r="AX24" s="4">
        <f t="shared" si="1"/>
        <v>0</v>
      </c>
      <c r="AZ24" s="4">
        <f t="shared" si="2"/>
        <v>76.844652907447283</v>
      </c>
      <c r="BA24" s="4">
        <f t="shared" si="2"/>
        <v>4.1563653588850968</v>
      </c>
      <c r="BB24" s="4">
        <f t="shared" si="2"/>
        <v>0.35282965696932356</v>
      </c>
      <c r="BC24" s="4">
        <f t="shared" si="2"/>
        <v>4.165756981307437E-2</v>
      </c>
      <c r="BD24" s="4">
        <f t="shared" si="2"/>
        <v>6.3278120570413104E-3</v>
      </c>
      <c r="BE24" s="4">
        <f t="shared" si="2"/>
        <v>1.1725563492957654E-3</v>
      </c>
    </row>
    <row r="25" spans="1:57" ht="12" customHeight="1" x14ac:dyDescent="0.2">
      <c r="A25" s="8">
        <v>17</v>
      </c>
      <c r="C25" s="4">
        <f>C24*(1-'Input&amp;Output'!$D$6/100)</f>
        <v>4.8193870217368318</v>
      </c>
      <c r="D25" s="4">
        <f>C25*'Input&amp;Output'!$D$7/1000</f>
        <v>7.2290805326052476</v>
      </c>
      <c r="F25" s="4">
        <f>'Input&amp;Output'!$D$30*C25</f>
        <v>96.387740434736628</v>
      </c>
      <c r="G25" s="4">
        <f>'Input&amp;Output'!$D$30*D25</f>
        <v>144.58161065210496</v>
      </c>
      <c r="I25" s="4">
        <f t="shared" si="3"/>
        <v>240.96935108684158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v>134.31788657173794</v>
      </c>
      <c r="U25" s="4">
        <v>134.31788657173794</v>
      </c>
      <c r="W25" s="4">
        <v>240.96935108684158</v>
      </c>
      <c r="AG25" s="4">
        <f>IF(A25&lt;='Input&amp;Output'!$D$38,$K$8/'Input&amp;Output'!$D$38,0)</f>
        <v>0</v>
      </c>
      <c r="AH25" s="4">
        <v>134.31788657173794</v>
      </c>
      <c r="AK25" s="4">
        <f t="shared" si="4"/>
        <v>106.65146451510364</v>
      </c>
      <c r="AL25" s="4">
        <f>AK25*('Input&amp;Output'!$D$32/100)</f>
        <v>42.66058580604146</v>
      </c>
      <c r="AM25" s="8"/>
      <c r="AN25" s="5"/>
      <c r="AO25" s="4">
        <v>240.96935108684158</v>
      </c>
      <c r="AQ25" s="4">
        <v>134.31788657173794</v>
      </c>
      <c r="AR25" s="4">
        <v>42.66058580604146</v>
      </c>
      <c r="AS25" s="4">
        <f t="shared" si="0"/>
        <v>63.99087870906218</v>
      </c>
      <c r="AU25" s="4">
        <f>AS25/(1+'Input&amp;Output'!$D$33/100)^A25</f>
        <v>12.660254210823107</v>
      </c>
      <c r="AW25" s="4">
        <f t="shared" si="5"/>
        <v>2844.5412369491505</v>
      </c>
      <c r="AX25" s="4">
        <f t="shared" si="1"/>
        <v>0</v>
      </c>
      <c r="AZ25" s="4">
        <f t="shared" si="2"/>
        <v>63.99087870906218</v>
      </c>
      <c r="BA25" s="4">
        <f t="shared" si="2"/>
        <v>2.884276496888047</v>
      </c>
      <c r="BB25" s="4">
        <f t="shared" si="2"/>
        <v>0.20986570149591374</v>
      </c>
      <c r="BC25" s="4">
        <f t="shared" si="2"/>
        <v>2.1680953036131718E-2</v>
      </c>
      <c r="BD25" s="4">
        <f t="shared" si="2"/>
        <v>2.9274230434424156E-3</v>
      </c>
      <c r="BE25" s="4">
        <f t="shared" si="2"/>
        <v>4.8821166007280106E-4</v>
      </c>
    </row>
    <row r="26" spans="1:57" ht="12" customHeight="1" x14ac:dyDescent="0.2">
      <c r="A26" s="8">
        <v>18</v>
      </c>
      <c r="C26" s="4">
        <f>C25*(1-'Input&amp;Output'!$D$6/100)</f>
        <v>4.5784176706499897</v>
      </c>
      <c r="D26" s="4">
        <f>C26*'Input&amp;Output'!$D$7/1000</f>
        <v>6.867626505974985</v>
      </c>
      <c r="F26" s="4">
        <f>'Input&amp;Output'!$D$30*C26</f>
        <v>91.568353412999798</v>
      </c>
      <c r="G26" s="4">
        <f>'Input&amp;Output'!$D$30*D26</f>
        <v>137.3525301194997</v>
      </c>
      <c r="I26" s="4">
        <f t="shared" si="3"/>
        <v>228.92088353249949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v>143.68446454444995</v>
      </c>
      <c r="U26" s="4">
        <v>143.68446454444995</v>
      </c>
      <c r="W26" s="4">
        <v>228.92088353249949</v>
      </c>
      <c r="AG26" s="4">
        <f>IF(A26&lt;='Input&amp;Output'!$D$38,$K$8/'Input&amp;Output'!$D$38,0)</f>
        <v>0</v>
      </c>
      <c r="AH26" s="4">
        <v>143.68446454444995</v>
      </c>
      <c r="AK26" s="4">
        <f t="shared" si="4"/>
        <v>85.236418988049536</v>
      </c>
      <c r="AL26" s="4">
        <f>AK26*('Input&amp;Output'!$D$32/100)</f>
        <v>34.094567595219814</v>
      </c>
      <c r="AM26" s="8"/>
      <c r="AN26" s="5"/>
      <c r="AO26" s="4">
        <v>228.92088353249949</v>
      </c>
      <c r="AQ26" s="4">
        <v>143.68446454444995</v>
      </c>
      <c r="AR26" s="4">
        <v>34.094567595219814</v>
      </c>
      <c r="AS26" s="4">
        <f t="shared" si="0"/>
        <v>51.141851392829722</v>
      </c>
      <c r="AU26" s="4">
        <f>AS26/(1+'Input&amp;Output'!$D$33/100)^A26</f>
        <v>9.198311505231187</v>
      </c>
      <c r="AW26" s="4">
        <f t="shared" si="5"/>
        <v>2895.6830883419802</v>
      </c>
      <c r="AX26" s="4">
        <f t="shared" si="1"/>
        <v>0</v>
      </c>
      <c r="AZ26" s="4">
        <f t="shared" si="2"/>
        <v>51.141851392829722</v>
      </c>
      <c r="BA26" s="4">
        <f t="shared" si="2"/>
        <v>1.920940960069341</v>
      </c>
      <c r="BB26" s="4">
        <f t="shared" si="2"/>
        <v>0.11980413386228458</v>
      </c>
      <c r="BC26" s="4">
        <f t="shared" si="2"/>
        <v>1.0829708278327481E-2</v>
      </c>
      <c r="BD26" s="4">
        <f t="shared" si="2"/>
        <v>1.2997845011661652E-3</v>
      </c>
      <c r="BE26" s="4">
        <f t="shared" si="2"/>
        <v>1.9509068066722764E-4</v>
      </c>
    </row>
    <row r="27" spans="1:57" ht="12" customHeight="1" x14ac:dyDescent="0.2">
      <c r="A27" s="8">
        <v>19</v>
      </c>
      <c r="C27" s="4">
        <f>C26*(1-'Input&amp;Output'!$D$6/100)</f>
        <v>4.3494967871174897</v>
      </c>
      <c r="D27" s="4">
        <f>C27*'Input&amp;Output'!$D$7/1000</f>
        <v>6.5242451806762345</v>
      </c>
      <c r="F27" s="4">
        <f>'Input&amp;Output'!$D$30*C27</f>
        <v>86.989935742349786</v>
      </c>
      <c r="G27" s="4">
        <f>'Input&amp;Output'!$D$30*D27</f>
        <v>130.48490361352469</v>
      </c>
      <c r="I27" s="4">
        <f t="shared" si="3"/>
        <v>217.47483935587448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v>153.72330042053716</v>
      </c>
      <c r="U27" s="4">
        <v>153.72330042053716</v>
      </c>
      <c r="W27" s="4">
        <v>217.47483935587448</v>
      </c>
      <c r="AG27" s="4">
        <f>IF(A27&lt;='Input&amp;Output'!$D$38,$K$8/'Input&amp;Output'!$D$38,0)</f>
        <v>0</v>
      </c>
      <c r="AH27" s="4">
        <v>153.72330042053716</v>
      </c>
      <c r="AK27" s="4">
        <f t="shared" si="4"/>
        <v>63.751538935337322</v>
      </c>
      <c r="AL27" s="4">
        <f>AK27*('Input&amp;Output'!$D$32/100)</f>
        <v>25.50061557413493</v>
      </c>
      <c r="AM27" s="8"/>
      <c r="AN27" s="5"/>
      <c r="AO27" s="4">
        <v>217.47483935587448</v>
      </c>
      <c r="AQ27" s="4">
        <v>153.72330042053716</v>
      </c>
      <c r="AR27" s="4">
        <v>25.50061557413493</v>
      </c>
      <c r="AS27" s="4">
        <f t="shared" si="0"/>
        <v>38.250923361202396</v>
      </c>
      <c r="AU27" s="4">
        <f>AS27/(1+'Input&amp;Output'!$D$33/100)^A27</f>
        <v>6.2543316260508481</v>
      </c>
      <c r="AW27" s="4">
        <f t="shared" si="5"/>
        <v>2933.9340117031825</v>
      </c>
      <c r="AX27" s="4">
        <f t="shared" si="1"/>
        <v>0</v>
      </c>
      <c r="AZ27" s="4">
        <f t="shared" si="2"/>
        <v>38.250923361202396</v>
      </c>
      <c r="BA27" s="4">
        <f t="shared" si="2"/>
        <v>1.1972869486840148</v>
      </c>
      <c r="BB27" s="4">
        <f t="shared" si="2"/>
        <v>6.4004313742987484E-2</v>
      </c>
      <c r="BC27" s="4">
        <f t="shared" si="2"/>
        <v>5.0624675546621211E-3</v>
      </c>
      <c r="BD27" s="4">
        <f t="shared" si="2"/>
        <v>5.400877492496651E-4</v>
      </c>
      <c r="BE27" s="4">
        <f t="shared" si="2"/>
        <v>7.2957846376805108E-5</v>
      </c>
    </row>
    <row r="28" spans="1:57" ht="12" customHeight="1" x14ac:dyDescent="0.2">
      <c r="A28" s="18">
        <v>20</v>
      </c>
      <c r="C28" s="11">
        <f>C27*(1-'Input&amp;Output'!$D$6/100)</f>
        <v>4.1320219477616149</v>
      </c>
      <c r="D28" s="11">
        <f>C28*'Input&amp;Output'!$D$7/1000</f>
        <v>6.1980329216424224</v>
      </c>
      <c r="F28" s="4">
        <f>'Input&amp;Output'!$D$30*C28</f>
        <v>82.640438955232298</v>
      </c>
      <c r="G28" s="4">
        <f>'Input&amp;Output'!$D$30*D28</f>
        <v>123.96065843284845</v>
      </c>
      <c r="H28" s="11"/>
      <c r="I28" s="4">
        <f t="shared" si="3"/>
        <v>206.60109738808075</v>
      </c>
      <c r="M28" s="11">
        <v>1.4859473959783542</v>
      </c>
      <c r="N28" s="11">
        <v>7.9598931154332622</v>
      </c>
      <c r="O28" s="11">
        <v>16.035677361064241</v>
      </c>
      <c r="P28" s="11">
        <v>0.43926841438126812</v>
      </c>
      <c r="Q28" s="11">
        <v>14.733224889023084</v>
      </c>
      <c r="R28" s="11">
        <v>7.739368924972359</v>
      </c>
      <c r="S28" s="11">
        <v>116.09053387458539</v>
      </c>
      <c r="T28" s="11">
        <v>164.48391397543796</v>
      </c>
      <c r="U28" s="11">
        <v>164.48391397543796</v>
      </c>
      <c r="W28" s="11">
        <v>206.60109738808075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4"/>
        <v>42.117183412642788</v>
      </c>
      <c r="AL28" s="4">
        <f>AK28*('Input&amp;Output'!$D$32/100)</f>
        <v>16.846873365057117</v>
      </c>
      <c r="AM28" s="18"/>
      <c r="AN28" s="5"/>
      <c r="AO28" s="11">
        <v>206.60109738808075</v>
      </c>
      <c r="AP28" s="11"/>
      <c r="AQ28" s="11">
        <v>164.48391397543796</v>
      </c>
      <c r="AR28" s="11">
        <v>16.846873365057117</v>
      </c>
      <c r="AS28" s="4">
        <f t="shared" si="0"/>
        <v>25.270310047585671</v>
      </c>
      <c r="AU28" s="4">
        <f>AS28/(1+'Input&amp;Output'!$D$33/100)^A28</f>
        <v>3.7562705667681002</v>
      </c>
      <c r="AV28" s="14"/>
      <c r="AW28" s="4">
        <f t="shared" si="5"/>
        <v>2959.204321750768</v>
      </c>
      <c r="AX28" s="4">
        <f t="shared" si="1"/>
        <v>0</v>
      </c>
      <c r="AZ28" s="4">
        <f t="shared" si="2"/>
        <v>25.270310047585671</v>
      </c>
      <c r="BA28" s="4">
        <f t="shared" si="2"/>
        <v>0.65915211430471143</v>
      </c>
      <c r="BB28" s="4">
        <f t="shared" si="2"/>
        <v>3.0202984296896124E-2</v>
      </c>
      <c r="BC28" s="4">
        <f t="shared" si="2"/>
        <v>2.0903110544566797E-3</v>
      </c>
      <c r="BD28" s="4">
        <f t="shared" si="2"/>
        <v>1.9822593195350716E-4</v>
      </c>
      <c r="BE28" s="4">
        <f t="shared" si="2"/>
        <v>2.4099645660005255E-5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140.49158299252917</v>
      </c>
      <c r="D30" s="12">
        <f>SUM(D9:D29)</f>
        <v>210.73737448879382</v>
      </c>
      <c r="F30" s="12">
        <f>SUM(F9:F29)</f>
        <v>2809.8316598505835</v>
      </c>
      <c r="G30" s="12">
        <f>SUM(G9:G29)</f>
        <v>4214.7474897758748</v>
      </c>
      <c r="I30" s="12">
        <f>SUM(I9:I29)</f>
        <v>7024.579149626461</v>
      </c>
      <c r="M30" s="12">
        <f t="shared" ref="M30:W30" si="6">SUM(M9:M29)</f>
        <v>24.783317194896075</v>
      </c>
      <c r="N30" s="12">
        <f t="shared" si="6"/>
        <v>104.15775542409848</v>
      </c>
      <c r="O30" s="12">
        <f t="shared" si="6"/>
        <v>194.9636333788014</v>
      </c>
      <c r="P30" s="12">
        <f t="shared" si="6"/>
        <v>8.0061098525080752</v>
      </c>
      <c r="Q30" s="12">
        <f t="shared" si="6"/>
        <v>137.97547377925386</v>
      </c>
      <c r="R30" s="12">
        <f t="shared" si="6"/>
        <v>87.730353567434619</v>
      </c>
      <c r="S30" s="12">
        <f t="shared" si="6"/>
        <v>1315.9553035115193</v>
      </c>
      <c r="U30" s="12">
        <f t="shared" si="6"/>
        <v>1873.5719467085121</v>
      </c>
      <c r="W30" s="12">
        <f t="shared" si="6"/>
        <v>7024.579149626461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4932.0072029179491</v>
      </c>
      <c r="AL30" s="12">
        <f>SUM(AL9:AL29)</f>
        <v>1972.8028811671791</v>
      </c>
      <c r="AM30" s="19" t="s">
        <v>82</v>
      </c>
      <c r="AO30" s="12">
        <f>SUM(AO8:AO29)</f>
        <v>7024.579149626461</v>
      </c>
      <c r="AP30" s="12">
        <f>SUM(AP8:AP29)</f>
        <v>219</v>
      </c>
      <c r="AQ30" s="12">
        <f>SUM(AQ8:AQ29)</f>
        <v>1873.5719467085121</v>
      </c>
      <c r="AR30" s="12">
        <f>SUM(AR8:AR29)</f>
        <v>1972.8028811671791</v>
      </c>
      <c r="AS30" s="12">
        <f>SUM(AS8:AS29)</f>
        <v>2959.204321750768</v>
      </c>
      <c r="AU30" s="15">
        <f>SUM(AU8:AU29)</f>
        <v>1518.5110816769943</v>
      </c>
      <c r="AX30" s="16">
        <f>SUM(AX8:AX29)</f>
        <v>0.70788922173689262</v>
      </c>
      <c r="AZ30" s="12">
        <f t="shared" ref="AZ30:BE30" si="7">SUM(AZ8:AZ29)</f>
        <v>2959.204321750768</v>
      </c>
      <c r="BA30" s="12">
        <f t="shared" si="7"/>
        <v>928.51996195246761</v>
      </c>
      <c r="BB30" s="12">
        <f t="shared" si="7"/>
        <v>448.21802877511107</v>
      </c>
      <c r="BC30" s="12">
        <f t="shared" si="7"/>
        <v>248.45009073202309</v>
      </c>
      <c r="BD30" s="12">
        <f t="shared" si="7"/>
        <v>140.30458129977035</v>
      </c>
      <c r="BE30" s="12">
        <f t="shared" si="7"/>
        <v>72.694961138836106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1518.5110816769943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1.3524633744794694</v>
      </c>
    </row>
    <row r="34" spans="45:48" ht="12" customHeight="1" thickBot="1" x14ac:dyDescent="0.25">
      <c r="AS34" s="75" t="s">
        <v>136</v>
      </c>
      <c r="AT34" s="76"/>
      <c r="AU34" s="77">
        <f>AX30</f>
        <v>0.70788922173689262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6.9338405556027141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B24A-79E4-429F-B3E7-66C568845EF5}">
  <dimension ref="A1:BM35"/>
  <sheetViews>
    <sheetView workbookViewId="0">
      <selection activeCell="AW10" sqref="AW10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'Cash Flow'!M8:S8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'Input&amp;Output'!$D$30*C9</f>
        <v>146</v>
      </c>
      <c r="G9" s="4">
        <f>'Input&amp;Output'!$D$30*D9</f>
        <v>219</v>
      </c>
      <c r="I9" s="4">
        <f>SUM(F9:G9)</f>
        <v>365</v>
      </c>
      <c r="M9" s="4" cm="1">
        <f t="array" ref="M9:U28">'Cash Flow'!M9:U28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v>46.482600000000005</v>
      </c>
      <c r="U9" s="4">
        <v>46.482600000000005</v>
      </c>
      <c r="W9" s="4" cm="1">
        <f t="array" ref="W9:W28">I9:I28</f>
        <v>365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296.61740000000003</v>
      </c>
      <c r="AL9" s="4">
        <f>AK9*('Input&amp;Output'!$D$32/100)</f>
        <v>118.64696000000002</v>
      </c>
      <c r="AM9" s="8"/>
      <c r="AN9" s="5"/>
      <c r="AO9" s="4" cm="1">
        <f t="array" ref="AO9:AO28">I9:I28</f>
        <v>365</v>
      </c>
      <c r="AQ9" s="4" cm="1">
        <f t="array" ref="AQ9:AQ28">U9:U28</f>
        <v>46.482600000000005</v>
      </c>
      <c r="AR9" s="4" cm="1">
        <f t="array" ref="AR9:AR28">AL9:AL28</f>
        <v>118.64696000000002</v>
      </c>
      <c r="AS9" s="4">
        <f t="shared" ref="AS9:AS28" si="0">AO9-AP9-AQ9-AR9</f>
        <v>199.87043999999997</v>
      </c>
      <c r="AU9" s="4">
        <f>AS9/(1+'Input&amp;Output'!$D$33/100)^A9</f>
        <v>181.70039999999997</v>
      </c>
      <c r="AW9" s="4">
        <f>AW8+AS9</f>
        <v>-19.129560000000026</v>
      </c>
      <c r="AX9" s="4">
        <f t="shared" ref="AX9:AX28" si="1">IF(AND(AW9&gt;0,AW8&lt;0),A8+ABS(AW8/AS9),0)</f>
        <v>0</v>
      </c>
      <c r="AZ9" s="4">
        <f t="shared" ref="AZ9:BE28" si="2">$AS9/(1+AZ$5)^$A9</f>
        <v>199.87043999999997</v>
      </c>
      <c r="BA9" s="4">
        <f t="shared" si="2"/>
        <v>166.55869999999999</v>
      </c>
      <c r="BB9" s="4">
        <f t="shared" si="2"/>
        <v>142.7646</v>
      </c>
      <c r="BC9" s="4">
        <f t="shared" si="2"/>
        <v>124.91902499999998</v>
      </c>
      <c r="BD9" s="4">
        <f t="shared" si="2"/>
        <v>111.03913333333331</v>
      </c>
      <c r="BE9" s="4">
        <f t="shared" si="2"/>
        <v>99.935219999999987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'Input&amp;Output'!$D$30*C10</f>
        <v>138.69999999999999</v>
      </c>
      <c r="G10" s="4">
        <f>'Input&amp;Output'!$D$30*D10</f>
        <v>208.05</v>
      </c>
      <c r="I10" s="4">
        <f t="shared" ref="I10:I28" si="3">SUM(F10:G10)</f>
        <v>346.75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v>49.619836000000006</v>
      </c>
      <c r="U10" s="4">
        <v>49.619836000000006</v>
      </c>
      <c r="W10" s="4">
        <v>346.75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4">MAX(0,W10-AH10-AG10)</f>
        <v>275.230164</v>
      </c>
      <c r="AL10" s="4">
        <f>AK10*('Input&amp;Output'!$D$32/100)</f>
        <v>110.09206560000001</v>
      </c>
      <c r="AM10" s="8"/>
      <c r="AN10" s="5"/>
      <c r="AO10" s="4">
        <v>346.75</v>
      </c>
      <c r="AQ10" s="4">
        <v>49.619836000000006</v>
      </c>
      <c r="AR10" s="4">
        <v>110.09206560000001</v>
      </c>
      <c r="AS10" s="4">
        <f t="shared" si="0"/>
        <v>187.03809839999997</v>
      </c>
      <c r="AU10" s="4">
        <f>AS10/(1+'Input&amp;Output'!$D$33/100)^A10</f>
        <v>154.57694082644622</v>
      </c>
      <c r="AW10" s="4">
        <f t="shared" ref="AW10:AW28" si="5">AW9+AS10</f>
        <v>167.90853839999994</v>
      </c>
      <c r="AX10" s="4">
        <f t="shared" si="1"/>
        <v>1.1022762750671766</v>
      </c>
      <c r="AZ10" s="4">
        <f t="shared" si="2"/>
        <v>187.03809839999997</v>
      </c>
      <c r="BA10" s="4">
        <f t="shared" si="2"/>
        <v>129.88756833333332</v>
      </c>
      <c r="BB10" s="4">
        <f t="shared" si="2"/>
        <v>95.427601224489791</v>
      </c>
      <c r="BC10" s="4">
        <f t="shared" si="2"/>
        <v>73.061757187499978</v>
      </c>
      <c r="BD10" s="4">
        <f t="shared" si="2"/>
        <v>57.727808148148135</v>
      </c>
      <c r="BE10" s="4">
        <f t="shared" si="2"/>
        <v>46.759524599999992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'Input&amp;Output'!$D$30*C11</f>
        <v>131.76499999999999</v>
      </c>
      <c r="G11" s="4">
        <f>'Input&amp;Output'!$D$30*D11</f>
        <v>197.64749999999998</v>
      </c>
      <c r="I11" s="4">
        <f t="shared" si="3"/>
        <v>329.41249999999997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v>52.976337360000002</v>
      </c>
      <c r="U11" s="4">
        <v>52.976337360000002</v>
      </c>
      <c r="W11" s="4">
        <v>329.41249999999997</v>
      </c>
      <c r="AG11" s="4">
        <f>IF(A11&lt;='Input&amp;Output'!$D$38,$K$8/'Input&amp;Output'!$D$38,0)</f>
        <v>21.9</v>
      </c>
      <c r="AH11" s="4">
        <v>52.976337360000002</v>
      </c>
      <c r="AK11" s="4">
        <f t="shared" si="4"/>
        <v>254.53616263999996</v>
      </c>
      <c r="AL11" s="4">
        <f>AK11*('Input&amp;Output'!$D$32/100)</f>
        <v>101.81446505599999</v>
      </c>
      <c r="AM11" s="8"/>
      <c r="AN11" s="5"/>
      <c r="AO11" s="4">
        <v>329.41249999999997</v>
      </c>
      <c r="AQ11" s="4">
        <v>52.976337360000002</v>
      </c>
      <c r="AR11" s="4">
        <v>101.81446505599999</v>
      </c>
      <c r="AS11" s="4">
        <f t="shared" si="0"/>
        <v>174.62169758399997</v>
      </c>
      <c r="AU11" s="4">
        <f>AS11/(1+'Input&amp;Output'!$D$33/100)^A11</f>
        <v>131.19586595341843</v>
      </c>
      <c r="AW11" s="4">
        <f t="shared" si="5"/>
        <v>342.53023598399989</v>
      </c>
      <c r="AX11" s="4">
        <f t="shared" si="1"/>
        <v>0</v>
      </c>
      <c r="AZ11" s="4">
        <f t="shared" si="2"/>
        <v>174.62169758399997</v>
      </c>
      <c r="BA11" s="4">
        <f t="shared" si="2"/>
        <v>101.05422313888887</v>
      </c>
      <c r="BB11" s="4">
        <f t="shared" si="2"/>
        <v>63.637644892128286</v>
      </c>
      <c r="BC11" s="4">
        <f t="shared" si="2"/>
        <v>42.632250386718731</v>
      </c>
      <c r="BD11" s="4">
        <f t="shared" si="2"/>
        <v>29.941992041152254</v>
      </c>
      <c r="BE11" s="4">
        <f t="shared" si="2"/>
        <v>21.827712197999997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'Input&amp;Output'!$D$30*C12</f>
        <v>125.17674999999998</v>
      </c>
      <c r="G12" s="4">
        <f>'Input&amp;Output'!$D$30*D12</f>
        <v>187.76512499999995</v>
      </c>
      <c r="I12" s="4">
        <f t="shared" si="3"/>
        <v>312.94187499999992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v>56.567804473600006</v>
      </c>
      <c r="U12" s="4">
        <v>56.567804473600006</v>
      </c>
      <c r="W12" s="4">
        <v>312.94187499999992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4"/>
        <v>234.47407052639991</v>
      </c>
      <c r="AL12" s="4">
        <f>AK12*('Input&amp;Output'!$D$32/100)</f>
        <v>93.789628210559968</v>
      </c>
      <c r="AM12" s="8"/>
      <c r="AN12" s="5"/>
      <c r="AO12" s="4">
        <v>312.94187499999992</v>
      </c>
      <c r="AQ12" s="4">
        <v>56.567804473600006</v>
      </c>
      <c r="AR12" s="4">
        <v>93.789628210559968</v>
      </c>
      <c r="AS12" s="4">
        <f t="shared" si="0"/>
        <v>162.58444231583996</v>
      </c>
      <c r="AU12" s="4">
        <f>AS12/(1+'Input&amp;Output'!$D$33/100)^A12</f>
        <v>111.04736173474484</v>
      </c>
      <c r="AW12" s="4">
        <f t="shared" si="5"/>
        <v>505.11467829983985</v>
      </c>
      <c r="AX12" s="4">
        <f t="shared" si="1"/>
        <v>0</v>
      </c>
      <c r="AZ12" s="4">
        <f t="shared" si="2"/>
        <v>162.58444231583996</v>
      </c>
      <c r="BA12" s="4">
        <f t="shared" si="2"/>
        <v>78.406849110648139</v>
      </c>
      <c r="BB12" s="4">
        <f t="shared" si="2"/>
        <v>42.322064326280717</v>
      </c>
      <c r="BC12" s="4">
        <f t="shared" si="2"/>
        <v>24.808417101415998</v>
      </c>
      <c r="BD12" s="4">
        <f t="shared" si="2"/>
        <v>15.487772663831727</v>
      </c>
      <c r="BE12" s="4">
        <f t="shared" si="2"/>
        <v>10.161527644739998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'Input&amp;Output'!$D$30*C13</f>
        <v>118.91791249999999</v>
      </c>
      <c r="G13" s="4">
        <f>'Input&amp;Output'!$D$30*D13</f>
        <v>178.37686875</v>
      </c>
      <c r="I13" s="4">
        <f t="shared" si="3"/>
        <v>297.29478124999997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v>60.411089279136007</v>
      </c>
      <c r="U13" s="4">
        <v>60.411089279136007</v>
      </c>
      <c r="W13" s="4">
        <v>297.29478124999997</v>
      </c>
      <c r="AG13" s="4">
        <f>IF(A13&lt;='Input&amp;Output'!$D$38,$K$8/'Input&amp;Output'!$D$38,0)</f>
        <v>21.9</v>
      </c>
      <c r="AH13" s="4">
        <v>60.411089279136007</v>
      </c>
      <c r="AK13" s="4">
        <f t="shared" si="4"/>
        <v>214.98369197086396</v>
      </c>
      <c r="AL13" s="4">
        <f>AK13*('Input&amp;Output'!$D$32/100)</f>
        <v>85.993476788345589</v>
      </c>
      <c r="AM13" s="8"/>
      <c r="AN13" s="5"/>
      <c r="AO13" s="4">
        <v>297.29478124999997</v>
      </c>
      <c r="AQ13" s="4">
        <v>60.411089279136007</v>
      </c>
      <c r="AR13" s="4">
        <v>85.993476788345589</v>
      </c>
      <c r="AS13" s="4">
        <f t="shared" si="0"/>
        <v>150.89021518251838</v>
      </c>
      <c r="AU13" s="4">
        <f>AS13/(1+'Input&amp;Output'!$D$33/100)^A13</f>
        <v>93.690952047809901</v>
      </c>
      <c r="AW13" s="4">
        <f t="shared" si="5"/>
        <v>656.00489348235828</v>
      </c>
      <c r="AX13" s="4">
        <f t="shared" si="1"/>
        <v>0</v>
      </c>
      <c r="AZ13" s="4">
        <f t="shared" si="2"/>
        <v>150.89021518251838</v>
      </c>
      <c r="BA13" s="4">
        <f t="shared" si="2"/>
        <v>60.639393318591814</v>
      </c>
      <c r="BB13" s="4">
        <f t="shared" si="2"/>
        <v>28.055686466672821</v>
      </c>
      <c r="BC13" s="4">
        <f t="shared" si="2"/>
        <v>14.390012281658009</v>
      </c>
      <c r="BD13" s="4">
        <f t="shared" si="2"/>
        <v>7.9854345110902774</v>
      </c>
      <c r="BE13" s="4">
        <f t="shared" si="2"/>
        <v>4.7153192244536992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'Input&amp;Output'!$D$30*C14</f>
        <v>112.97201687499998</v>
      </c>
      <c r="G14" s="4">
        <f>'Input&amp;Output'!$D$30*D14</f>
        <v>169.45802531249996</v>
      </c>
      <c r="I14" s="4">
        <f t="shared" si="3"/>
        <v>282.43004218749991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v>64.524282005803371</v>
      </c>
      <c r="U14" s="4">
        <v>64.524282005803371</v>
      </c>
      <c r="W14" s="4">
        <v>282.43004218749991</v>
      </c>
      <c r="AG14" s="4">
        <f>IF(A14&lt;='Input&amp;Output'!$D$38,$K$8/'Input&amp;Output'!$D$38,0)</f>
        <v>21.9</v>
      </c>
      <c r="AH14" s="4">
        <v>64.524282005803371</v>
      </c>
      <c r="AK14" s="4">
        <f t="shared" si="4"/>
        <v>196.00576018169653</v>
      </c>
      <c r="AL14" s="4">
        <f>AK14*('Input&amp;Output'!$D$32/100)</f>
        <v>78.402304072678618</v>
      </c>
      <c r="AM14" s="8"/>
      <c r="AN14" s="5"/>
      <c r="AO14" s="4">
        <v>282.43004218749991</v>
      </c>
      <c r="AQ14" s="4">
        <v>64.524282005803371</v>
      </c>
      <c r="AR14" s="4">
        <v>78.402304072678618</v>
      </c>
      <c r="AS14" s="4">
        <f t="shared" si="0"/>
        <v>139.50345610901792</v>
      </c>
      <c r="AU14" s="4">
        <f>AS14/(1+'Input&amp;Output'!$D$33/100)^A14</f>
        <v>78.746064125941956</v>
      </c>
      <c r="AW14" s="4">
        <f t="shared" si="5"/>
        <v>795.50834959137615</v>
      </c>
      <c r="AX14" s="4">
        <f t="shared" si="1"/>
        <v>0</v>
      </c>
      <c r="AZ14" s="4">
        <f t="shared" si="2"/>
        <v>139.50345610901792</v>
      </c>
      <c r="BA14" s="4">
        <f t="shared" si="2"/>
        <v>46.719425190830869</v>
      </c>
      <c r="BB14" s="4">
        <f t="shared" si="2"/>
        <v>18.527497060777449</v>
      </c>
      <c r="BC14" s="4">
        <f t="shared" si="2"/>
        <v>8.3150539463173061</v>
      </c>
      <c r="BD14" s="4">
        <f t="shared" si="2"/>
        <v>4.1015681923363161</v>
      </c>
      <c r="BE14" s="4">
        <f t="shared" si="2"/>
        <v>2.179741501703405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'Input&amp;Output'!$D$30*C15</f>
        <v>107.32341603124996</v>
      </c>
      <c r="G15" s="4">
        <f>'Input&amp;Output'!$D$30*D15</f>
        <v>160.98512404687494</v>
      </c>
      <c r="I15" s="4">
        <f t="shared" si="3"/>
        <v>268.30854007812491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v>68.926804653643131</v>
      </c>
      <c r="U15" s="4">
        <v>68.926804653643131</v>
      </c>
      <c r="W15" s="4">
        <v>268.30854007812491</v>
      </c>
      <c r="AG15" s="4">
        <f>IF(A15&lt;='Input&amp;Output'!$D$38,$K$8/'Input&amp;Output'!$D$38,0)</f>
        <v>21.9</v>
      </c>
      <c r="AH15" s="4">
        <v>68.926804653643131</v>
      </c>
      <c r="AK15" s="4">
        <f t="shared" si="4"/>
        <v>177.48173542448177</v>
      </c>
      <c r="AL15" s="4">
        <f>AK15*('Input&amp;Output'!$D$32/100)</f>
        <v>70.992694169792713</v>
      </c>
      <c r="AM15" s="8"/>
      <c r="AN15" s="5"/>
      <c r="AO15" s="4">
        <v>268.30854007812491</v>
      </c>
      <c r="AQ15" s="4">
        <v>68.926804653643131</v>
      </c>
      <c r="AR15" s="4">
        <v>70.992694169792713</v>
      </c>
      <c r="AS15" s="4">
        <f t="shared" si="0"/>
        <v>128.38904125468906</v>
      </c>
      <c r="AU15" s="4">
        <f>AS15/(1+'Input&amp;Output'!$D$33/100)^A15</f>
        <v>65.883878811700782</v>
      </c>
      <c r="AW15" s="4">
        <f t="shared" si="5"/>
        <v>923.89739084606526</v>
      </c>
      <c r="AX15" s="4">
        <f t="shared" si="1"/>
        <v>0</v>
      </c>
      <c r="AZ15" s="4">
        <f t="shared" si="2"/>
        <v>128.38904125468906</v>
      </c>
      <c r="BA15" s="4">
        <f t="shared" si="2"/>
        <v>35.831025120108109</v>
      </c>
      <c r="BB15" s="4">
        <f t="shared" si="2"/>
        <v>12.179562995523717</v>
      </c>
      <c r="BC15" s="4">
        <f t="shared" si="2"/>
        <v>4.7828644981491921</v>
      </c>
      <c r="BD15" s="4">
        <f t="shared" si="2"/>
        <v>2.0971061798691526</v>
      </c>
      <c r="BE15" s="4">
        <f t="shared" si="2"/>
        <v>1.0030393848022583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'Input&amp;Output'!$D$30*C16</f>
        <v>101.95724522968746</v>
      </c>
      <c r="G16" s="4">
        <f>'Input&amp;Output'!$D$30*D16</f>
        <v>152.93586784453117</v>
      </c>
      <c r="I16" s="4">
        <f t="shared" si="3"/>
        <v>254.89311307421863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v>73.63951174757122</v>
      </c>
      <c r="U16" s="4">
        <v>73.63951174757122</v>
      </c>
      <c r="W16" s="4">
        <v>254.89311307421863</v>
      </c>
      <c r="AG16" s="4">
        <f>IF(A16&lt;='Input&amp;Output'!$D$38,$K$8/'Input&amp;Output'!$D$38,0)</f>
        <v>21.9</v>
      </c>
      <c r="AH16" s="4">
        <v>73.63951174757122</v>
      </c>
      <c r="AK16" s="4">
        <f t="shared" si="4"/>
        <v>159.35360132664741</v>
      </c>
      <c r="AL16" s="4">
        <f>AK16*('Input&amp;Output'!$D$32/100)</f>
        <v>63.741440530658963</v>
      </c>
      <c r="AM16" s="8"/>
      <c r="AN16" s="5"/>
      <c r="AO16" s="4">
        <v>254.89311307421863</v>
      </c>
      <c r="AQ16" s="4">
        <v>73.63951174757122</v>
      </c>
      <c r="AR16" s="4">
        <v>63.741440530658963</v>
      </c>
      <c r="AS16" s="4">
        <f t="shared" si="0"/>
        <v>117.51216079598845</v>
      </c>
      <c r="AU16" s="4">
        <f>AS16/(1+'Input&amp;Output'!$D$33/100)^A16</f>
        <v>54.820290275721483</v>
      </c>
      <c r="AW16" s="4">
        <f t="shared" si="5"/>
        <v>1041.4095516420537</v>
      </c>
      <c r="AX16" s="4">
        <f t="shared" si="1"/>
        <v>0</v>
      </c>
      <c r="AZ16" s="4">
        <f t="shared" si="2"/>
        <v>117.51216079598845</v>
      </c>
      <c r="BA16" s="4">
        <f t="shared" si="2"/>
        <v>27.329572837442008</v>
      </c>
      <c r="BB16" s="4">
        <f t="shared" si="2"/>
        <v>7.9626665015727367</v>
      </c>
      <c r="BC16" s="4">
        <f t="shared" si="2"/>
        <v>2.7360432035286992</v>
      </c>
      <c r="BD16" s="4">
        <f t="shared" si="2"/>
        <v>1.0663573611317101</v>
      </c>
      <c r="BE16" s="4">
        <f t="shared" si="2"/>
        <v>0.45903187810932988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'Input&amp;Output'!$D$30*C17</f>
        <v>96.859382968203093</v>
      </c>
      <c r="G17" s="4">
        <f>'Input&amp;Output'!$D$30*D17</f>
        <v>145.28907445230462</v>
      </c>
      <c r="I17" s="4">
        <f t="shared" si="3"/>
        <v>242.14845742050773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v>78.684798950472654</v>
      </c>
      <c r="U17" s="4">
        <v>78.684798950472654</v>
      </c>
      <c r="W17" s="4">
        <v>242.14845742050773</v>
      </c>
      <c r="AG17" s="4">
        <f>IF(A17&lt;='Input&amp;Output'!$D$38,$K$8/'Input&amp;Output'!$D$38,0)</f>
        <v>21.9</v>
      </c>
      <c r="AH17" s="4">
        <v>78.684798950472654</v>
      </c>
      <c r="AK17" s="4">
        <f t="shared" si="4"/>
        <v>141.56365847003505</v>
      </c>
      <c r="AL17" s="4">
        <f>AK17*('Input&amp;Output'!$D$32/100)</f>
        <v>56.625463388014026</v>
      </c>
      <c r="AM17" s="8"/>
      <c r="AN17" s="5"/>
      <c r="AO17" s="4">
        <v>242.14845742050773</v>
      </c>
      <c r="AQ17" s="4">
        <v>78.684798950472654</v>
      </c>
      <c r="AR17" s="4">
        <v>56.625463388014026</v>
      </c>
      <c r="AS17" s="4">
        <f t="shared" si="0"/>
        <v>106.83819508202103</v>
      </c>
      <c r="AU17" s="4">
        <f>AS17/(1+'Input&amp;Output'!$D$33/100)^A17</f>
        <v>45.309824085500026</v>
      </c>
      <c r="AW17" s="4">
        <f t="shared" si="5"/>
        <v>1148.2477467240747</v>
      </c>
      <c r="AX17" s="4">
        <f t="shared" si="1"/>
        <v>0</v>
      </c>
      <c r="AZ17" s="4">
        <f t="shared" si="2"/>
        <v>106.83819508202103</v>
      </c>
      <c r="BA17" s="4">
        <f t="shared" si="2"/>
        <v>20.705957965945029</v>
      </c>
      <c r="BB17" s="4">
        <f t="shared" si="2"/>
        <v>5.1709962326186227</v>
      </c>
      <c r="BC17" s="4">
        <f t="shared" si="2"/>
        <v>1.5547003579852889</v>
      </c>
      <c r="BD17" s="4">
        <f t="shared" si="2"/>
        <v>0.53860948425361221</v>
      </c>
      <c r="BE17" s="4">
        <f t="shared" si="2"/>
        <v>0.20866834976957233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'Input&amp;Output'!$D$30*C18</f>
        <v>92.01641381979293</v>
      </c>
      <c r="G18" s="4">
        <f>'Input&amp;Output'!$D$30*D18</f>
        <v>138.02462072968939</v>
      </c>
      <c r="I18" s="4">
        <f t="shared" si="3"/>
        <v>230.04103454948233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v>84.086720169074482</v>
      </c>
      <c r="U18" s="4">
        <v>84.086720169074482</v>
      </c>
      <c r="W18" s="4">
        <v>230.04103454948233</v>
      </c>
      <c r="AG18" s="4">
        <f>IF(A18&lt;='Input&amp;Output'!$D$38,$K$8/'Input&amp;Output'!$D$38,0)</f>
        <v>21.9</v>
      </c>
      <c r="AH18" s="4">
        <v>84.086720169074482</v>
      </c>
      <c r="AK18" s="4">
        <f t="shared" si="4"/>
        <v>124.05431438040785</v>
      </c>
      <c r="AL18" s="4">
        <f>AK18*('Input&amp;Output'!$D$32/100)</f>
        <v>49.621725752163144</v>
      </c>
      <c r="AM18" s="8"/>
      <c r="AN18" s="5"/>
      <c r="AO18" s="4">
        <v>230.04103454948233</v>
      </c>
      <c r="AQ18" s="4">
        <v>84.086720169074482</v>
      </c>
      <c r="AR18" s="4">
        <v>49.621725752163144</v>
      </c>
      <c r="AS18" s="4">
        <f t="shared" si="0"/>
        <v>96.332588628244707</v>
      </c>
      <c r="AU18" s="4">
        <f>AS18/(1+'Input&amp;Output'!$D$33/100)^A18</f>
        <v>37.140383098995343</v>
      </c>
      <c r="AW18" s="4">
        <f t="shared" si="5"/>
        <v>1244.5803353523193</v>
      </c>
      <c r="AX18" s="4">
        <f t="shared" si="1"/>
        <v>0</v>
      </c>
      <c r="AZ18" s="4">
        <f t="shared" si="2"/>
        <v>96.332588628244707</v>
      </c>
      <c r="BA18" s="4">
        <f t="shared" si="2"/>
        <v>15.558250877692387</v>
      </c>
      <c r="BB18" s="4">
        <f t="shared" si="2"/>
        <v>3.3303729765814025</v>
      </c>
      <c r="BC18" s="4">
        <f t="shared" si="2"/>
        <v>0.87613978965459505</v>
      </c>
      <c r="BD18" s="4">
        <f t="shared" si="2"/>
        <v>0.26980387303353137</v>
      </c>
      <c r="BE18" s="4">
        <f t="shared" si="2"/>
        <v>9.4074793582270222E-2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'Input&amp;Output'!$D$30*C19</f>
        <v>87.41559312880328</v>
      </c>
      <c r="G19" s="4">
        <f>'Input&amp;Output'!$D$30*D19</f>
        <v>131.12338969320493</v>
      </c>
      <c r="I19" s="4">
        <f t="shared" si="3"/>
        <v>218.53898282200822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v>89.871113839195871</v>
      </c>
      <c r="U19" s="4">
        <v>89.871113839195871</v>
      </c>
      <c r="W19" s="4">
        <v>218.53898282200822</v>
      </c>
      <c r="AG19" s="4">
        <f>IF(A19&lt;='Input&amp;Output'!$D$38,$K$8/'Input&amp;Output'!$D$38,0)</f>
        <v>0</v>
      </c>
      <c r="AH19" s="4">
        <v>89.871113839195871</v>
      </c>
      <c r="AK19" s="4">
        <f t="shared" si="4"/>
        <v>128.66786898281237</v>
      </c>
      <c r="AL19" s="4">
        <f>AK19*('Input&amp;Output'!$D$32/100)</f>
        <v>51.467147593124949</v>
      </c>
      <c r="AM19" s="8"/>
      <c r="AN19" s="5"/>
      <c r="AO19" s="4">
        <v>218.53898282200822</v>
      </c>
      <c r="AQ19" s="4">
        <v>89.871113839195871</v>
      </c>
      <c r="AR19" s="4">
        <v>51.467147593124949</v>
      </c>
      <c r="AS19" s="4">
        <f t="shared" si="0"/>
        <v>77.200721389687416</v>
      </c>
      <c r="AU19" s="4">
        <f>AS19/(1+'Input&amp;Output'!$D$33/100)^A19</f>
        <v>27.058381882648067</v>
      </c>
      <c r="AW19" s="4">
        <f t="shared" si="5"/>
        <v>1321.7810567420067</v>
      </c>
      <c r="AX19" s="4">
        <f t="shared" si="1"/>
        <v>0</v>
      </c>
      <c r="AZ19" s="4">
        <f t="shared" si="2"/>
        <v>77.200721389687416</v>
      </c>
      <c r="BA19" s="4">
        <f t="shared" si="2"/>
        <v>10.390289589631708</v>
      </c>
      <c r="BB19" s="4">
        <f t="shared" si="2"/>
        <v>1.9063953327140297</v>
      </c>
      <c r="BC19" s="4">
        <f t="shared" si="2"/>
        <v>0.43883529423105377</v>
      </c>
      <c r="BD19" s="4">
        <f t="shared" si="2"/>
        <v>0.1201223451685082</v>
      </c>
      <c r="BE19" s="4">
        <f t="shared" si="2"/>
        <v>3.7695664741058309E-2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'Input&amp;Output'!$D$30*C20</f>
        <v>83.044813472363117</v>
      </c>
      <c r="G20" s="4">
        <f>'Input&amp;Output'!$D$30*D20</f>
        <v>124.56722020854468</v>
      </c>
      <c r="I20" s="4">
        <f t="shared" si="3"/>
        <v>207.61203368090781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v>96.065739134419545</v>
      </c>
      <c r="U20" s="4">
        <v>96.065739134419545</v>
      </c>
      <c r="W20" s="4">
        <v>207.61203368090781</v>
      </c>
      <c r="AG20" s="4">
        <f>IF(A20&lt;='Input&amp;Output'!$D$38,$K$8/'Input&amp;Output'!$D$38,0)</f>
        <v>0</v>
      </c>
      <c r="AH20" s="4">
        <v>96.065739134419545</v>
      </c>
      <c r="AK20" s="4">
        <f t="shared" si="4"/>
        <v>111.54629454648827</v>
      </c>
      <c r="AL20" s="4">
        <f>AK20*('Input&amp;Output'!$D$32/100)</f>
        <v>44.618517818595308</v>
      </c>
      <c r="AM20" s="8"/>
      <c r="AN20" s="5"/>
      <c r="AO20" s="4">
        <v>207.61203368090781</v>
      </c>
      <c r="AQ20" s="4">
        <v>96.065739134419545</v>
      </c>
      <c r="AR20" s="4">
        <v>44.618517818595308</v>
      </c>
      <c r="AS20" s="4">
        <f t="shared" si="0"/>
        <v>66.927776727892962</v>
      </c>
      <c r="AU20" s="4">
        <f>AS20/(1+'Input&amp;Output'!$D$33/100)^A20</f>
        <v>21.325252226344706</v>
      </c>
      <c r="AW20" s="4">
        <f t="shared" si="5"/>
        <v>1388.7088334698997</v>
      </c>
      <c r="AX20" s="4">
        <f t="shared" si="1"/>
        <v>0</v>
      </c>
      <c r="AZ20" s="4">
        <f t="shared" si="2"/>
        <v>66.927776727892962</v>
      </c>
      <c r="BA20" s="4">
        <f t="shared" si="2"/>
        <v>7.5063955499720878</v>
      </c>
      <c r="BB20" s="4">
        <f t="shared" si="2"/>
        <v>1.1805108154267436</v>
      </c>
      <c r="BC20" s="4">
        <f t="shared" si="2"/>
        <v>0.23777522787289082</v>
      </c>
      <c r="BD20" s="4">
        <f t="shared" si="2"/>
        <v>5.7854392439961627E-2</v>
      </c>
      <c r="BE20" s="4">
        <f t="shared" si="2"/>
        <v>1.6339789240208243E-2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'Input&amp;Output'!$D$30*C21</f>
        <v>78.892572798744965</v>
      </c>
      <c r="G21" s="4">
        <f>'Input&amp;Output'!$D$30*D21</f>
        <v>118.33885919811743</v>
      </c>
      <c r="I21" s="4">
        <f t="shared" si="3"/>
        <v>197.2314319968624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v>102.70042290464741</v>
      </c>
      <c r="U21" s="4">
        <v>102.70042290464741</v>
      </c>
      <c r="W21" s="4">
        <v>197.2314319968624</v>
      </c>
      <c r="AG21" s="4">
        <f>IF(A21&lt;='Input&amp;Output'!$D$38,$K$8/'Input&amp;Output'!$D$38,0)</f>
        <v>0</v>
      </c>
      <c r="AH21" s="4">
        <v>102.70042290464741</v>
      </c>
      <c r="AK21" s="4">
        <f t="shared" si="4"/>
        <v>94.531009092214987</v>
      </c>
      <c r="AL21" s="4">
        <f>AK21*('Input&amp;Output'!$D$32/100)</f>
        <v>37.812403636885996</v>
      </c>
      <c r="AM21" s="8"/>
      <c r="AN21" s="5"/>
      <c r="AO21" s="4">
        <v>197.2314319968624</v>
      </c>
      <c r="AQ21" s="4">
        <v>102.70042290464741</v>
      </c>
      <c r="AR21" s="4">
        <v>37.812403636885996</v>
      </c>
      <c r="AS21" s="4">
        <f t="shared" si="0"/>
        <v>56.718605455328991</v>
      </c>
      <c r="AU21" s="4">
        <f>AS21/(1+'Input&amp;Output'!$D$33/100)^A21</f>
        <v>16.429359668747786</v>
      </c>
      <c r="AW21" s="4">
        <f t="shared" si="5"/>
        <v>1445.4274389252287</v>
      </c>
      <c r="AX21" s="4">
        <f t="shared" si="1"/>
        <v>0</v>
      </c>
      <c r="AZ21" s="4">
        <f t="shared" si="2"/>
        <v>56.718605455328991</v>
      </c>
      <c r="BA21" s="4">
        <f t="shared" si="2"/>
        <v>5.301140876598434</v>
      </c>
      <c r="BB21" s="4">
        <f t="shared" si="2"/>
        <v>0.71459682201439889</v>
      </c>
      <c r="BC21" s="4">
        <f t="shared" si="2"/>
        <v>0.12594060340227234</v>
      </c>
      <c r="BD21" s="4">
        <f t="shared" si="2"/>
        <v>2.7238486844318455E-2</v>
      </c>
      <c r="BE21" s="4">
        <f t="shared" si="2"/>
        <v>6.9236578924962147E-3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'Input&amp;Output'!$D$30*C22</f>
        <v>74.947944158807701</v>
      </c>
      <c r="G22" s="4">
        <f>'Input&amp;Output'!$D$30*D22</f>
        <v>112.42191623821157</v>
      </c>
      <c r="I22" s="4">
        <f t="shared" si="3"/>
        <v>187.36986039701927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v>109.80721821883162</v>
      </c>
      <c r="U22" s="4">
        <v>109.80721821883162</v>
      </c>
      <c r="W22" s="4">
        <v>187.36986039701927</v>
      </c>
      <c r="AG22" s="4">
        <f>IF(A22&lt;='Input&amp;Output'!$D$38,$K$8/'Input&amp;Output'!$D$38,0)</f>
        <v>0</v>
      </c>
      <c r="AH22" s="4">
        <v>109.80721821883162</v>
      </c>
      <c r="AK22" s="4">
        <f t="shared" si="4"/>
        <v>77.562642178187645</v>
      </c>
      <c r="AL22" s="4">
        <f>AK22*('Input&amp;Output'!$D$32/100)</f>
        <v>31.025056871275059</v>
      </c>
      <c r="AM22" s="8"/>
      <c r="AN22" s="5"/>
      <c r="AO22" s="4">
        <v>187.36986039701927</v>
      </c>
      <c r="AQ22" s="4">
        <v>109.80721821883162</v>
      </c>
      <c r="AR22" s="4">
        <v>31.025056871275059</v>
      </c>
      <c r="AS22" s="4">
        <f t="shared" si="0"/>
        <v>46.53758530691259</v>
      </c>
      <c r="AU22" s="4">
        <f>AS22/(1+'Input&amp;Output'!$D$33/100)^A22</f>
        <v>12.25480071124548</v>
      </c>
      <c r="AW22" s="4">
        <f t="shared" si="5"/>
        <v>1491.9650242321413</v>
      </c>
      <c r="AX22" s="4">
        <f t="shared" si="1"/>
        <v>0</v>
      </c>
      <c r="AZ22" s="4">
        <f t="shared" si="2"/>
        <v>46.53758530691259</v>
      </c>
      <c r="BA22" s="4">
        <f t="shared" si="2"/>
        <v>3.6246527012340084</v>
      </c>
      <c r="BB22" s="4">
        <f t="shared" si="2"/>
        <v>0.41880450613002251</v>
      </c>
      <c r="BC22" s="4">
        <f t="shared" si="2"/>
        <v>6.4583873397739577E-2</v>
      </c>
      <c r="BD22" s="4">
        <f t="shared" si="2"/>
        <v>1.2416202124040097E-2</v>
      </c>
      <c r="BE22" s="4">
        <f t="shared" si="2"/>
        <v>2.8404287907051141E-3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'Input&amp;Output'!$D$30*C23</f>
        <v>71.20054695086732</v>
      </c>
      <c r="G23" s="4">
        <f>'Input&amp;Output'!$D$30*D23</f>
        <v>106.80082042630097</v>
      </c>
      <c r="I23" s="4">
        <f t="shared" si="3"/>
        <v>178.00136737716829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v>117.42057545990087</v>
      </c>
      <c r="U23" s="4">
        <v>117.42057545990087</v>
      </c>
      <c r="W23" s="4">
        <v>178.00136737716829</v>
      </c>
      <c r="AG23" s="4">
        <f>IF(A23&lt;='Input&amp;Output'!$D$38,$K$8/'Input&amp;Output'!$D$38,0)</f>
        <v>0</v>
      </c>
      <c r="AH23" s="4">
        <v>117.42057545990087</v>
      </c>
      <c r="AK23" s="4">
        <f t="shared" si="4"/>
        <v>60.580791917267419</v>
      </c>
      <c r="AL23" s="4">
        <f>AK23*('Input&amp;Output'!$D$32/100)</f>
        <v>24.232316766906969</v>
      </c>
      <c r="AM23" s="8"/>
      <c r="AN23" s="5"/>
      <c r="AO23" s="4">
        <v>178.00136737716829</v>
      </c>
      <c r="AQ23" s="4">
        <v>117.42057545990087</v>
      </c>
      <c r="AR23" s="4">
        <v>24.232316766906969</v>
      </c>
      <c r="AS23" s="4">
        <f t="shared" si="0"/>
        <v>36.34847515036045</v>
      </c>
      <c r="AU23" s="4">
        <f>AS23/(1+'Input&amp;Output'!$D$33/100)^A23</f>
        <v>8.7015359576888986</v>
      </c>
      <c r="AW23" s="4">
        <f t="shared" si="5"/>
        <v>1528.3134993825017</v>
      </c>
      <c r="AX23" s="4">
        <f t="shared" si="1"/>
        <v>0</v>
      </c>
      <c r="AZ23" s="4">
        <f t="shared" si="2"/>
        <v>36.34847515036045</v>
      </c>
      <c r="BA23" s="4">
        <f t="shared" si="2"/>
        <v>2.359214918626237</v>
      </c>
      <c r="BB23" s="4">
        <f t="shared" si="2"/>
        <v>0.23364993329787645</v>
      </c>
      <c r="BC23" s="4">
        <f t="shared" si="2"/>
        <v>3.1527276579644888E-2</v>
      </c>
      <c r="BD23" s="4">
        <f t="shared" si="2"/>
        <v>5.3876406372655753E-3</v>
      </c>
      <c r="BE23" s="4">
        <f t="shared" si="2"/>
        <v>1.1092674301257462E-3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'Input&amp;Output'!$D$30*C24</f>
        <v>67.640519603323952</v>
      </c>
      <c r="G24" s="4">
        <f>'Input&amp;Output'!$D$30*D24</f>
        <v>101.46077940498593</v>
      </c>
      <c r="I24" s="4">
        <f t="shared" si="3"/>
        <v>169.10129900830987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v>125.57752700005267</v>
      </c>
      <c r="U24" s="4">
        <v>125.57752700005267</v>
      </c>
      <c r="W24" s="4">
        <v>169.10129900830987</v>
      </c>
      <c r="AG24" s="4">
        <f>IF(A24&lt;='Input&amp;Output'!$D$38,$K$8/'Input&amp;Output'!$D$38,0)</f>
        <v>0</v>
      </c>
      <c r="AH24" s="4">
        <v>125.57752700005267</v>
      </c>
      <c r="AK24" s="4">
        <f t="shared" si="4"/>
        <v>43.523772008257197</v>
      </c>
      <c r="AL24" s="4">
        <f>AK24*('Input&amp;Output'!$D$32/100)</f>
        <v>17.409508803302881</v>
      </c>
      <c r="AM24" s="8"/>
      <c r="AN24" s="5"/>
      <c r="AO24" s="4">
        <v>169.10129900830987</v>
      </c>
      <c r="AQ24" s="4">
        <v>125.57752700005267</v>
      </c>
      <c r="AR24" s="4">
        <v>17.409508803302881</v>
      </c>
      <c r="AS24" s="4">
        <f t="shared" si="0"/>
        <v>26.114263204954316</v>
      </c>
      <c r="AU24" s="4">
        <f>AS24/(1+'Input&amp;Output'!$D$33/100)^A24</f>
        <v>5.6832245330906828</v>
      </c>
      <c r="AW24" s="4">
        <f t="shared" si="5"/>
        <v>1554.4277625874561</v>
      </c>
      <c r="AX24" s="4">
        <f t="shared" si="1"/>
        <v>0</v>
      </c>
      <c r="AZ24" s="4">
        <f t="shared" si="2"/>
        <v>26.114263204954316</v>
      </c>
      <c r="BA24" s="4">
        <f t="shared" si="2"/>
        <v>1.4124654722379621</v>
      </c>
      <c r="BB24" s="4">
        <f t="shared" si="2"/>
        <v>0.11990276720630109</v>
      </c>
      <c r="BC24" s="4">
        <f t="shared" si="2"/>
        <v>1.4156570449834847E-2</v>
      </c>
      <c r="BD24" s="4">
        <f t="shared" si="2"/>
        <v>2.1503922955847664E-3</v>
      </c>
      <c r="BE24" s="4">
        <f t="shared" si="2"/>
        <v>3.9847203376700311E-4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'Input&amp;Output'!$D$30*C25</f>
        <v>64.258493623157747</v>
      </c>
      <c r="G25" s="4">
        <f>'Input&amp;Output'!$D$30*D25</f>
        <v>96.387740434736614</v>
      </c>
      <c r="I25" s="4">
        <f t="shared" si="3"/>
        <v>160.64623405789436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v>134.31788657173794</v>
      </c>
      <c r="U25" s="4">
        <v>134.31788657173794</v>
      </c>
      <c r="W25" s="4">
        <v>160.64623405789436</v>
      </c>
      <c r="AG25" s="4">
        <f>IF(A25&lt;='Input&amp;Output'!$D$38,$K$8/'Input&amp;Output'!$D$38,0)</f>
        <v>0</v>
      </c>
      <c r="AH25" s="4">
        <v>134.31788657173794</v>
      </c>
      <c r="AK25" s="4">
        <f t="shared" si="4"/>
        <v>26.328347486156417</v>
      </c>
      <c r="AL25" s="4">
        <f>AK25*('Input&amp;Output'!$D$32/100)</f>
        <v>10.531338994462567</v>
      </c>
      <c r="AM25" s="8"/>
      <c r="AN25" s="5"/>
      <c r="AO25" s="4">
        <v>160.64623405789436</v>
      </c>
      <c r="AQ25" s="4">
        <v>134.31788657173794</v>
      </c>
      <c r="AR25" s="4">
        <v>10.531338994462567</v>
      </c>
      <c r="AS25" s="4">
        <f t="shared" si="0"/>
        <v>15.79700849169385</v>
      </c>
      <c r="AU25" s="4">
        <f>AS25/(1+'Input&amp;Output'!$D$33/100)^A25</f>
        <v>3.1253539146517912</v>
      </c>
      <c r="AW25" s="4">
        <f t="shared" si="5"/>
        <v>1570.2247710791498</v>
      </c>
      <c r="AX25" s="4">
        <f t="shared" si="1"/>
        <v>0</v>
      </c>
      <c r="AZ25" s="4">
        <f t="shared" si="2"/>
        <v>15.79700849169385</v>
      </c>
      <c r="BA25" s="4">
        <f t="shared" si="2"/>
        <v>0.71202241995906512</v>
      </c>
      <c r="BB25" s="4">
        <f t="shared" si="2"/>
        <v>5.1808169156719847E-2</v>
      </c>
      <c r="BC25" s="4">
        <f t="shared" si="2"/>
        <v>5.3522346642082509E-3</v>
      </c>
      <c r="BD25" s="4">
        <f t="shared" si="2"/>
        <v>7.2267372489590606E-4</v>
      </c>
      <c r="BE25" s="4">
        <f t="shared" si="2"/>
        <v>1.2052161019663887E-4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'Input&amp;Output'!$D$30*C26</f>
        <v>61.045568941999861</v>
      </c>
      <c r="G26" s="4">
        <f>'Input&amp;Output'!$D$30*D26</f>
        <v>91.568353412999798</v>
      </c>
      <c r="I26" s="4">
        <f t="shared" si="3"/>
        <v>152.61392235499966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v>143.68446454444995</v>
      </c>
      <c r="U26" s="4">
        <v>143.68446454444995</v>
      </c>
      <c r="W26" s="4">
        <v>152.61392235499966</v>
      </c>
      <c r="AG26" s="4">
        <f>IF(A26&lt;='Input&amp;Output'!$D$38,$K$8/'Input&amp;Output'!$D$38,0)</f>
        <v>0</v>
      </c>
      <c r="AH26" s="4">
        <v>143.68446454444995</v>
      </c>
      <c r="AK26" s="4">
        <f t="shared" si="4"/>
        <v>8.9294578105497067</v>
      </c>
      <c r="AL26" s="4">
        <f>AK26*('Input&amp;Output'!$D$32/100)</f>
        <v>3.5717831242198828</v>
      </c>
      <c r="AM26" s="8"/>
      <c r="AN26" s="5"/>
      <c r="AO26" s="4">
        <v>152.61392235499966</v>
      </c>
      <c r="AQ26" s="4">
        <v>143.68446454444995</v>
      </c>
      <c r="AR26" s="4">
        <v>3.5717831242198828</v>
      </c>
      <c r="AS26" s="4">
        <f t="shared" si="0"/>
        <v>5.3576746863298244</v>
      </c>
      <c r="AU26" s="4">
        <f>AS26/(1+'Input&amp;Output'!$D$33/100)^A26</f>
        <v>0.96362488581050798</v>
      </c>
      <c r="AW26" s="4">
        <f t="shared" si="5"/>
        <v>1575.5824457654796</v>
      </c>
      <c r="AX26" s="4">
        <f t="shared" si="1"/>
        <v>0</v>
      </c>
      <c r="AZ26" s="4">
        <f t="shared" si="2"/>
        <v>5.3576746863298244</v>
      </c>
      <c r="BA26" s="4">
        <f t="shared" si="2"/>
        <v>0.20123981583389772</v>
      </c>
      <c r="BB26" s="4">
        <f t="shared" si="2"/>
        <v>1.2550808346403052E-2</v>
      </c>
      <c r="BC26" s="4">
        <f t="shared" si="2"/>
        <v>1.1345317449979256E-3</v>
      </c>
      <c r="BD26" s="4">
        <f t="shared" si="2"/>
        <v>1.3616680526661878E-4</v>
      </c>
      <c r="BE26" s="4">
        <f t="shared" si="2"/>
        <v>2.0437906976050661E-5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'Input&amp;Output'!$D$30*C27</f>
        <v>57.993290494899867</v>
      </c>
      <c r="G27" s="4">
        <f>'Input&amp;Output'!$D$30*D27</f>
        <v>86.989935742349786</v>
      </c>
      <c r="I27" s="4">
        <f t="shared" si="3"/>
        <v>144.98322623724965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v>153.72330042053716</v>
      </c>
      <c r="U27" s="4">
        <v>153.72330042053716</v>
      </c>
      <c r="W27" s="4">
        <v>144.98322623724965</v>
      </c>
      <c r="AG27" s="4">
        <f>IF(A27&lt;='Input&amp;Output'!$D$38,$K$8/'Input&amp;Output'!$D$38,0)</f>
        <v>0</v>
      </c>
      <c r="AH27" s="4">
        <v>153.72330042053716</v>
      </c>
      <c r="AK27" s="4">
        <f t="shared" si="4"/>
        <v>0</v>
      </c>
      <c r="AL27" s="4">
        <f>AK27*('Input&amp;Output'!$D$32/100)</f>
        <v>0</v>
      </c>
      <c r="AM27" s="8"/>
      <c r="AN27" s="5"/>
      <c r="AO27" s="4">
        <v>144.98322623724965</v>
      </c>
      <c r="AQ27" s="4">
        <v>153.72330042053716</v>
      </c>
      <c r="AR27" s="4">
        <v>0</v>
      </c>
      <c r="AS27" s="4">
        <f t="shared" si="0"/>
        <v>-8.7400741832875042</v>
      </c>
      <c r="AU27" s="4">
        <f>AS27/(1+'Input&amp;Output'!$D$33/100)^A27</f>
        <v>-1.4290719693844081</v>
      </c>
      <c r="AW27" s="4">
        <f t="shared" si="5"/>
        <v>1566.8423715821921</v>
      </c>
      <c r="AX27" s="4">
        <f t="shared" si="1"/>
        <v>0</v>
      </c>
      <c r="AZ27" s="4">
        <f t="shared" si="2"/>
        <v>-8.7400741832875042</v>
      </c>
      <c r="BA27" s="4">
        <f t="shared" si="2"/>
        <v>-0.27357187305951841</v>
      </c>
      <c r="BB27" s="4">
        <f t="shared" si="2"/>
        <v>-1.4624547618934497E-2</v>
      </c>
      <c r="BC27" s="4">
        <f t="shared" si="2"/>
        <v>-1.1567391866705034E-3</v>
      </c>
      <c r="BD27" s="4">
        <f t="shared" si="2"/>
        <v>-1.2340635412515883E-4</v>
      </c>
      <c r="BE27" s="4">
        <f t="shared" si="2"/>
        <v>-1.6670368544173249E-5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'Input&amp;Output'!$D$30*C28</f>
        <v>55.093625970154875</v>
      </c>
      <c r="G28" s="4">
        <f>'Input&amp;Output'!$D$30*D28</f>
        <v>82.640438955232312</v>
      </c>
      <c r="H28" s="11"/>
      <c r="I28" s="4">
        <f t="shared" si="3"/>
        <v>137.7340649253872</v>
      </c>
      <c r="M28" s="11">
        <v>1.4859473959783542</v>
      </c>
      <c r="N28" s="11">
        <v>7.9598931154332622</v>
      </c>
      <c r="O28" s="11">
        <v>16.035677361064241</v>
      </c>
      <c r="P28" s="11">
        <v>0.43926841438126812</v>
      </c>
      <c r="Q28" s="11">
        <v>14.733224889023084</v>
      </c>
      <c r="R28" s="11">
        <v>7.739368924972359</v>
      </c>
      <c r="S28" s="11">
        <v>116.09053387458539</v>
      </c>
      <c r="T28" s="11">
        <v>164.48391397543796</v>
      </c>
      <c r="U28" s="11">
        <v>164.48391397543796</v>
      </c>
      <c r="W28" s="11">
        <v>137.7340649253872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4"/>
        <v>0</v>
      </c>
      <c r="AL28" s="4">
        <f>AK28*('Input&amp;Output'!$D$32/100)</f>
        <v>0</v>
      </c>
      <c r="AM28" s="18"/>
      <c r="AN28" s="5"/>
      <c r="AO28" s="11">
        <v>137.7340649253872</v>
      </c>
      <c r="AP28" s="11"/>
      <c r="AQ28" s="11">
        <v>164.48391397543796</v>
      </c>
      <c r="AR28" s="11">
        <v>0</v>
      </c>
      <c r="AS28" s="4">
        <f t="shared" si="0"/>
        <v>-26.749849050050756</v>
      </c>
      <c r="AU28" s="4">
        <f>AS28/(1+'Input&amp;Output'!$D$33/100)^A28</f>
        <v>-3.9761946118977325</v>
      </c>
      <c r="AV28" s="14"/>
      <c r="AW28" s="4">
        <f t="shared" si="5"/>
        <v>1540.0925225321414</v>
      </c>
      <c r="AX28" s="4">
        <f t="shared" si="1"/>
        <v>0</v>
      </c>
      <c r="AZ28" s="4">
        <f t="shared" si="2"/>
        <v>-26.749849050050756</v>
      </c>
      <c r="BA28" s="4">
        <f t="shared" si="2"/>
        <v>-0.69774448851122894</v>
      </c>
      <c r="BB28" s="4">
        <f t="shared" si="2"/>
        <v>-3.1971324027352567E-2</v>
      </c>
      <c r="BC28" s="4">
        <f t="shared" si="2"/>
        <v>-2.2126956522921962E-3</v>
      </c>
      <c r="BD28" s="4">
        <f t="shared" si="2"/>
        <v>-2.0983176492797136E-4</v>
      </c>
      <c r="BE28" s="4">
        <f t="shared" si="2"/>
        <v>-2.551064400677753E-5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2809.8316598505835</v>
      </c>
      <c r="I30" s="12">
        <f>SUM(I9:I29)</f>
        <v>4683.0527664176398</v>
      </c>
      <c r="M30" s="12">
        <f t="shared" ref="M30:W30" si="6">SUM(M9:M29)</f>
        <v>24.783317194896075</v>
      </c>
      <c r="N30" s="12">
        <f t="shared" si="6"/>
        <v>104.15775542409848</v>
      </c>
      <c r="O30" s="12">
        <f t="shared" si="6"/>
        <v>194.9636333788014</v>
      </c>
      <c r="P30" s="12">
        <f t="shared" si="6"/>
        <v>8.0061098525080752</v>
      </c>
      <c r="Q30" s="12">
        <f t="shared" si="6"/>
        <v>137.97547377925386</v>
      </c>
      <c r="R30" s="12">
        <f t="shared" si="6"/>
        <v>87.730353567434619</v>
      </c>
      <c r="S30" s="12">
        <f t="shared" si="6"/>
        <v>1315.9553035115193</v>
      </c>
      <c r="U30" s="12">
        <f t="shared" si="6"/>
        <v>1873.5719467085121</v>
      </c>
      <c r="W30" s="12">
        <f>SUM(W10:W29)</f>
        <v>4318.0527664176398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2625.9707429424661</v>
      </c>
      <c r="AL30" s="12">
        <f>SUM(AL9:AL29)</f>
        <v>1050.3882971769867</v>
      </c>
      <c r="AM30" s="19" t="s">
        <v>82</v>
      </c>
      <c r="AO30" s="12">
        <f>SUM(AO8:AO29)</f>
        <v>4683.0527664176398</v>
      </c>
      <c r="AP30" s="12">
        <f>SUM(AP8:AP29)</f>
        <v>219</v>
      </c>
      <c r="AQ30" s="12">
        <f>SUM(AQ8:AQ29)</f>
        <v>1873.5719467085121</v>
      </c>
      <c r="AR30" s="12">
        <f>SUM(AR8:AR29)</f>
        <v>1050.3882971769867</v>
      </c>
      <c r="AS30" s="12">
        <f>SUM(AS8:AS29)</f>
        <v>1540.0925225321414</v>
      </c>
      <c r="AU30" s="15">
        <f>SUM(AU8:AU29)</f>
        <v>825.24822815922471</v>
      </c>
      <c r="AX30" s="16">
        <f>SUM(AX8:AX29)</f>
        <v>1.1022762750671766</v>
      </c>
      <c r="AZ30" s="12">
        <f t="shared" ref="AZ30:BE30" si="7">SUM(AZ8:AZ29)</f>
        <v>1540.0925225321414</v>
      </c>
      <c r="BA30" s="12">
        <f t="shared" si="7"/>
        <v>494.22707087600321</v>
      </c>
      <c r="BB30" s="12">
        <f t="shared" si="7"/>
        <v>204.97031595929172</v>
      </c>
      <c r="BC30" s="12">
        <f t="shared" si="7"/>
        <v>79.99219993043144</v>
      </c>
      <c r="BD30" s="12">
        <f t="shared" si="7"/>
        <v>11.481280850100811</v>
      </c>
      <c r="BE30" s="12">
        <f t="shared" si="7"/>
        <v>-31.590734366206512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825.24822815922471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0.84565702912404195</v>
      </c>
    </row>
    <row r="34" spans="45:48" ht="12" customHeight="1" thickBot="1" x14ac:dyDescent="0.25">
      <c r="AS34" s="75" t="s">
        <v>136</v>
      </c>
      <c r="AT34" s="76"/>
      <c r="AU34" s="77">
        <f>AX30</f>
        <v>1.1022762750671766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3.7682567495855008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2E8A-C868-421B-9C23-550C1CBED516}">
  <dimension ref="A1:BM35"/>
  <sheetViews>
    <sheetView workbookViewId="0">
      <selection activeCell="AW10" sqref="AW10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'Price=0.5'!M8:S8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'Input&amp;Output'!$D$30*C9</f>
        <v>146</v>
      </c>
      <c r="G9" s="4">
        <f>'Input&amp;Output'!$D$30*D9</f>
        <v>219</v>
      </c>
      <c r="I9" s="4">
        <f>SUM(F9:G9)</f>
        <v>365</v>
      </c>
      <c r="M9" s="4" cm="1">
        <f t="array" ref="M9:U28">'Price=0.5'!M9:U28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v>46.482600000000005</v>
      </c>
      <c r="U9" s="4">
        <v>46.482600000000005</v>
      </c>
      <c r="W9" s="4">
        <f>I9</f>
        <v>365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296.61740000000003</v>
      </c>
      <c r="AL9" s="4">
        <f>AK9*('Input&amp;Output'!$D$32/100)</f>
        <v>118.64696000000002</v>
      </c>
      <c r="AM9" s="8"/>
      <c r="AN9" s="5"/>
      <c r="AO9" s="4" cm="1">
        <f t="array" ref="AO9:AO28">W9:W28</f>
        <v>365</v>
      </c>
      <c r="AQ9" s="4" cm="1">
        <f t="array" ref="AQ9:AQ28">AH9:AH28</f>
        <v>46.482600000000005</v>
      </c>
      <c r="AR9" s="4" cm="1">
        <f t="array" ref="AR9:AR28">AL9:AL28</f>
        <v>118.64696000000002</v>
      </c>
      <c r="AS9" s="4">
        <f t="shared" ref="AS9:AS28" si="0">AO9-AP9-AQ9-AR9</f>
        <v>199.87043999999997</v>
      </c>
      <c r="AU9" s="4">
        <f>AS9/(1+'Input&amp;Output'!$D$33/100)^A9</f>
        <v>181.70039999999997</v>
      </c>
      <c r="AW9" s="4">
        <f>AW8+AS9</f>
        <v>-19.129560000000026</v>
      </c>
      <c r="AX9" s="4">
        <f t="shared" ref="AX9:AX28" si="1">IF(AND(AW9&gt;0,AW8&lt;0),A8+ABS(AW8/AS9),0)</f>
        <v>0</v>
      </c>
      <c r="AZ9" s="4">
        <f t="shared" ref="AZ9:BE28" si="2">$AS9/(1+AZ$5)^$A9</f>
        <v>199.87043999999997</v>
      </c>
      <c r="BA9" s="4">
        <f t="shared" si="2"/>
        <v>166.55869999999999</v>
      </c>
      <c r="BB9" s="4">
        <f t="shared" si="2"/>
        <v>142.7646</v>
      </c>
      <c r="BC9" s="4">
        <f t="shared" si="2"/>
        <v>124.91902499999998</v>
      </c>
      <c r="BD9" s="4">
        <f t="shared" si="2"/>
        <v>111.03913333333331</v>
      </c>
      <c r="BE9" s="4">
        <f t="shared" si="2"/>
        <v>99.935219999999987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'Input&amp;Output'!$D$30*C10</f>
        <v>138.69999999999999</v>
      </c>
      <c r="G10" s="4">
        <f>'Input&amp;Output'!$D$30*D10</f>
        <v>208.05</v>
      </c>
      <c r="I10" s="4">
        <f t="shared" ref="I10:I28" si="3">SUM(F10:G10)</f>
        <v>346.75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v>49.619836000000006</v>
      </c>
      <c r="U10" s="4">
        <v>49.619836000000006</v>
      </c>
      <c r="W10" s="4">
        <f t="shared" ref="W10:W28" si="4">I10</f>
        <v>346.75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5">MAX(0,W10-AH10-AG10)</f>
        <v>275.230164</v>
      </c>
      <c r="AL10" s="4">
        <f>AK10*('Input&amp;Output'!$D$32/100)</f>
        <v>110.09206560000001</v>
      </c>
      <c r="AM10" s="8"/>
      <c r="AN10" s="5"/>
      <c r="AO10" s="4">
        <v>346.75</v>
      </c>
      <c r="AQ10" s="4">
        <v>49.619836000000006</v>
      </c>
      <c r="AR10" s="4">
        <v>110.09206560000001</v>
      </c>
      <c r="AS10" s="4">
        <f t="shared" si="0"/>
        <v>187.03809839999997</v>
      </c>
      <c r="AU10" s="4">
        <f>AS10/(1+'Input&amp;Output'!$D$33/100)^A10</f>
        <v>154.57694082644622</v>
      </c>
      <c r="AW10" s="4">
        <f t="shared" ref="AW10:AW28" si="6">AW9+AS10</f>
        <v>167.90853839999994</v>
      </c>
      <c r="AX10" s="4">
        <f t="shared" si="1"/>
        <v>1.1022762750671766</v>
      </c>
      <c r="AZ10" s="4">
        <f t="shared" si="2"/>
        <v>187.03809839999997</v>
      </c>
      <c r="BA10" s="4">
        <f t="shared" si="2"/>
        <v>129.88756833333332</v>
      </c>
      <c r="BB10" s="4">
        <f t="shared" si="2"/>
        <v>95.427601224489791</v>
      </c>
      <c r="BC10" s="4">
        <f t="shared" si="2"/>
        <v>73.061757187499978</v>
      </c>
      <c r="BD10" s="4">
        <f t="shared" si="2"/>
        <v>57.727808148148135</v>
      </c>
      <c r="BE10" s="4">
        <f t="shared" si="2"/>
        <v>46.759524599999992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'Input&amp;Output'!$D$30*C11</f>
        <v>131.76499999999999</v>
      </c>
      <c r="G11" s="4">
        <f>'Input&amp;Output'!$D$30*D11</f>
        <v>197.64749999999998</v>
      </c>
      <c r="I11" s="4">
        <f t="shared" si="3"/>
        <v>329.41249999999997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v>52.976337360000002</v>
      </c>
      <c r="U11" s="4">
        <v>52.976337360000002</v>
      </c>
      <c r="W11" s="4">
        <f t="shared" si="4"/>
        <v>329.41249999999997</v>
      </c>
      <c r="AG11" s="4">
        <f>IF(A11&lt;='Input&amp;Output'!$D$38,$K$8/'Input&amp;Output'!$D$38,0)</f>
        <v>21.9</v>
      </c>
      <c r="AH11" s="4">
        <v>52.976337360000002</v>
      </c>
      <c r="AK11" s="4">
        <f t="shared" si="5"/>
        <v>254.53616263999996</v>
      </c>
      <c r="AL11" s="4">
        <f>AK11*('Input&amp;Output'!$D$32/100)</f>
        <v>101.81446505599999</v>
      </c>
      <c r="AM11" s="8"/>
      <c r="AN11" s="5"/>
      <c r="AO11" s="4">
        <v>329.41249999999997</v>
      </c>
      <c r="AQ11" s="4">
        <v>52.976337360000002</v>
      </c>
      <c r="AR11" s="4">
        <v>101.81446505599999</v>
      </c>
      <c r="AS11" s="4">
        <f t="shared" si="0"/>
        <v>174.62169758399997</v>
      </c>
      <c r="AU11" s="4">
        <f>AS11/(1+'Input&amp;Output'!$D$33/100)^A11</f>
        <v>131.19586595341843</v>
      </c>
      <c r="AW11" s="4">
        <f t="shared" si="6"/>
        <v>342.53023598399989</v>
      </c>
      <c r="AX11" s="4">
        <f t="shared" si="1"/>
        <v>0</v>
      </c>
      <c r="AZ11" s="4">
        <f t="shared" si="2"/>
        <v>174.62169758399997</v>
      </c>
      <c r="BA11" s="4">
        <f t="shared" si="2"/>
        <v>101.05422313888887</v>
      </c>
      <c r="BB11" s="4">
        <f t="shared" si="2"/>
        <v>63.637644892128286</v>
      </c>
      <c r="BC11" s="4">
        <f t="shared" si="2"/>
        <v>42.632250386718731</v>
      </c>
      <c r="BD11" s="4">
        <f t="shared" si="2"/>
        <v>29.941992041152254</v>
      </c>
      <c r="BE11" s="4">
        <f t="shared" si="2"/>
        <v>21.827712197999997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'Input&amp;Output'!$D$30*C12</f>
        <v>125.17674999999998</v>
      </c>
      <c r="G12" s="4">
        <f>'Input&amp;Output'!$D$30*D12</f>
        <v>187.76512499999995</v>
      </c>
      <c r="I12" s="4">
        <f t="shared" si="3"/>
        <v>312.94187499999992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v>56.567804473600006</v>
      </c>
      <c r="U12" s="4">
        <v>56.567804473600006</v>
      </c>
      <c r="W12" s="4">
        <f t="shared" si="4"/>
        <v>312.94187499999992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5"/>
        <v>234.47407052639991</v>
      </c>
      <c r="AL12" s="4">
        <f>AK12*('Input&amp;Output'!$D$32/100)</f>
        <v>93.789628210559968</v>
      </c>
      <c r="AM12" s="8"/>
      <c r="AN12" s="5"/>
      <c r="AO12" s="4">
        <v>312.94187499999992</v>
      </c>
      <c r="AQ12" s="4">
        <v>56.567804473600006</v>
      </c>
      <c r="AR12" s="4">
        <v>93.789628210559968</v>
      </c>
      <c r="AS12" s="4">
        <f t="shared" si="0"/>
        <v>162.58444231583996</v>
      </c>
      <c r="AU12" s="4">
        <f>AS12/(1+'Input&amp;Output'!$D$33/100)^A12</f>
        <v>111.04736173474484</v>
      </c>
      <c r="AW12" s="4">
        <f t="shared" si="6"/>
        <v>505.11467829983985</v>
      </c>
      <c r="AX12" s="4">
        <f t="shared" si="1"/>
        <v>0</v>
      </c>
      <c r="AZ12" s="4">
        <f t="shared" si="2"/>
        <v>162.58444231583996</v>
      </c>
      <c r="BA12" s="4">
        <f t="shared" si="2"/>
        <v>78.406849110648139</v>
      </c>
      <c r="BB12" s="4">
        <f t="shared" si="2"/>
        <v>42.322064326280717</v>
      </c>
      <c r="BC12" s="4">
        <f t="shared" si="2"/>
        <v>24.808417101415998</v>
      </c>
      <c r="BD12" s="4">
        <f t="shared" si="2"/>
        <v>15.487772663831727</v>
      </c>
      <c r="BE12" s="4">
        <f t="shared" si="2"/>
        <v>10.161527644739998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'Input&amp;Output'!$D$30*C13</f>
        <v>118.91791249999999</v>
      </c>
      <c r="G13" s="4">
        <f>'Input&amp;Output'!$D$30*D13</f>
        <v>178.37686875</v>
      </c>
      <c r="I13" s="4">
        <f t="shared" si="3"/>
        <v>297.29478124999997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v>60.411089279136007</v>
      </c>
      <c r="U13" s="4">
        <v>60.411089279136007</v>
      </c>
      <c r="W13" s="4">
        <f t="shared" si="4"/>
        <v>297.29478124999997</v>
      </c>
      <c r="AG13" s="4">
        <f>IF(A13&lt;='Input&amp;Output'!$D$38,$K$8/'Input&amp;Output'!$D$38,0)</f>
        <v>21.9</v>
      </c>
      <c r="AH13" s="4">
        <v>60.411089279136007</v>
      </c>
      <c r="AK13" s="4">
        <f t="shared" si="5"/>
        <v>214.98369197086396</v>
      </c>
      <c r="AL13" s="4">
        <f>AK13*('Input&amp;Output'!$D$32/100)</f>
        <v>85.993476788345589</v>
      </c>
      <c r="AM13" s="8"/>
      <c r="AN13" s="5"/>
      <c r="AO13" s="4">
        <v>297.29478124999997</v>
      </c>
      <c r="AQ13" s="4">
        <v>60.411089279136007</v>
      </c>
      <c r="AR13" s="4">
        <v>85.993476788345589</v>
      </c>
      <c r="AS13" s="4">
        <f t="shared" si="0"/>
        <v>150.89021518251838</v>
      </c>
      <c r="AU13" s="4">
        <f>AS13/(1+'Input&amp;Output'!$D$33/100)^A13</f>
        <v>93.690952047809901</v>
      </c>
      <c r="AW13" s="4">
        <f t="shared" si="6"/>
        <v>656.00489348235828</v>
      </c>
      <c r="AX13" s="4">
        <f t="shared" si="1"/>
        <v>0</v>
      </c>
      <c r="AZ13" s="4">
        <f t="shared" si="2"/>
        <v>150.89021518251838</v>
      </c>
      <c r="BA13" s="4">
        <f t="shared" si="2"/>
        <v>60.639393318591814</v>
      </c>
      <c r="BB13" s="4">
        <f t="shared" si="2"/>
        <v>28.055686466672821</v>
      </c>
      <c r="BC13" s="4">
        <f t="shared" si="2"/>
        <v>14.390012281658009</v>
      </c>
      <c r="BD13" s="4">
        <f t="shared" si="2"/>
        <v>7.9854345110902774</v>
      </c>
      <c r="BE13" s="4">
        <f t="shared" si="2"/>
        <v>4.7153192244536992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'Input&amp;Output'!$D$30*C14</f>
        <v>112.97201687499998</v>
      </c>
      <c r="G14" s="4">
        <f>'Input&amp;Output'!$D$30*D14</f>
        <v>169.45802531249996</v>
      </c>
      <c r="I14" s="4">
        <f t="shared" si="3"/>
        <v>282.43004218749991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v>64.524282005803371</v>
      </c>
      <c r="U14" s="4">
        <v>64.524282005803371</v>
      </c>
      <c r="W14" s="4">
        <f t="shared" si="4"/>
        <v>282.43004218749991</v>
      </c>
      <c r="AG14" s="4">
        <f>IF(A14&lt;='Input&amp;Output'!$D$38,$K$8/'Input&amp;Output'!$D$38,0)</f>
        <v>21.9</v>
      </c>
      <c r="AH14" s="4">
        <v>64.524282005803371</v>
      </c>
      <c r="AK14" s="4">
        <f t="shared" si="5"/>
        <v>196.00576018169653</v>
      </c>
      <c r="AL14" s="4">
        <f>AK14*('Input&amp;Output'!$D$32/100)</f>
        <v>78.402304072678618</v>
      </c>
      <c r="AM14" s="8"/>
      <c r="AN14" s="5"/>
      <c r="AO14" s="4">
        <v>282.43004218749991</v>
      </c>
      <c r="AQ14" s="4">
        <v>64.524282005803371</v>
      </c>
      <c r="AR14" s="4">
        <v>78.402304072678618</v>
      </c>
      <c r="AS14" s="4">
        <f t="shared" si="0"/>
        <v>139.50345610901792</v>
      </c>
      <c r="AU14" s="4">
        <f>AS14/(1+'Input&amp;Output'!$D$33/100)^A14</f>
        <v>78.746064125941956</v>
      </c>
      <c r="AW14" s="4">
        <f t="shared" si="6"/>
        <v>795.50834959137615</v>
      </c>
      <c r="AX14" s="4">
        <f t="shared" si="1"/>
        <v>0</v>
      </c>
      <c r="AZ14" s="4">
        <f t="shared" si="2"/>
        <v>139.50345610901792</v>
      </c>
      <c r="BA14" s="4">
        <f t="shared" si="2"/>
        <v>46.719425190830869</v>
      </c>
      <c r="BB14" s="4">
        <f t="shared" si="2"/>
        <v>18.527497060777449</v>
      </c>
      <c r="BC14" s="4">
        <f t="shared" si="2"/>
        <v>8.3150539463173061</v>
      </c>
      <c r="BD14" s="4">
        <f t="shared" si="2"/>
        <v>4.1015681923363161</v>
      </c>
      <c r="BE14" s="4">
        <f t="shared" si="2"/>
        <v>2.179741501703405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'Input&amp;Output'!$D$30*C15</f>
        <v>107.32341603124996</v>
      </c>
      <c r="G15" s="4">
        <f>'Input&amp;Output'!$D$30*D15</f>
        <v>160.98512404687494</v>
      </c>
      <c r="I15" s="4">
        <f t="shared" si="3"/>
        <v>268.30854007812491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v>68.926804653643131</v>
      </c>
      <c r="U15" s="4">
        <v>68.926804653643131</v>
      </c>
      <c r="W15" s="4">
        <f t="shared" si="4"/>
        <v>268.30854007812491</v>
      </c>
      <c r="AG15" s="4">
        <f>IF(A15&lt;='Input&amp;Output'!$D$38,$K$8/'Input&amp;Output'!$D$38,0)</f>
        <v>21.9</v>
      </c>
      <c r="AH15" s="4">
        <v>68.926804653643131</v>
      </c>
      <c r="AK15" s="4">
        <f t="shared" si="5"/>
        <v>177.48173542448177</v>
      </c>
      <c r="AL15" s="4">
        <f>AK15*('Input&amp;Output'!$D$32/100)</f>
        <v>70.992694169792713</v>
      </c>
      <c r="AM15" s="8"/>
      <c r="AN15" s="5"/>
      <c r="AO15" s="4">
        <v>268.30854007812491</v>
      </c>
      <c r="AQ15" s="4">
        <v>68.926804653643131</v>
      </c>
      <c r="AR15" s="4">
        <v>70.992694169792713</v>
      </c>
      <c r="AS15" s="4">
        <f t="shared" si="0"/>
        <v>128.38904125468906</v>
      </c>
      <c r="AU15" s="4">
        <f>AS15/(1+'Input&amp;Output'!$D$33/100)^A15</f>
        <v>65.883878811700782</v>
      </c>
      <c r="AW15" s="4">
        <f t="shared" si="6"/>
        <v>923.89739084606526</v>
      </c>
      <c r="AX15" s="4">
        <f t="shared" si="1"/>
        <v>0</v>
      </c>
      <c r="AZ15" s="4">
        <f t="shared" si="2"/>
        <v>128.38904125468906</v>
      </c>
      <c r="BA15" s="4">
        <f t="shared" si="2"/>
        <v>35.831025120108109</v>
      </c>
      <c r="BB15" s="4">
        <f t="shared" si="2"/>
        <v>12.179562995523717</v>
      </c>
      <c r="BC15" s="4">
        <f t="shared" si="2"/>
        <v>4.7828644981491921</v>
      </c>
      <c r="BD15" s="4">
        <f t="shared" si="2"/>
        <v>2.0971061798691526</v>
      </c>
      <c r="BE15" s="4">
        <f t="shared" si="2"/>
        <v>1.0030393848022583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'Input&amp;Output'!$D$30*C16</f>
        <v>101.95724522968746</v>
      </c>
      <c r="G16" s="4">
        <f>'Input&amp;Output'!$D$30*D16</f>
        <v>152.93586784453117</v>
      </c>
      <c r="I16" s="4">
        <f t="shared" si="3"/>
        <v>254.89311307421863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v>73.63951174757122</v>
      </c>
      <c r="U16" s="4">
        <v>73.63951174757122</v>
      </c>
      <c r="W16" s="4">
        <f t="shared" si="4"/>
        <v>254.89311307421863</v>
      </c>
      <c r="AG16" s="4">
        <f>IF(A16&lt;='Input&amp;Output'!$D$38,$K$8/'Input&amp;Output'!$D$38,0)</f>
        <v>21.9</v>
      </c>
      <c r="AH16" s="4">
        <v>73.63951174757122</v>
      </c>
      <c r="AK16" s="4">
        <f t="shared" si="5"/>
        <v>159.35360132664741</v>
      </c>
      <c r="AL16" s="4">
        <f>AK16*('Input&amp;Output'!$D$32/100)</f>
        <v>63.741440530658963</v>
      </c>
      <c r="AM16" s="8"/>
      <c r="AN16" s="5"/>
      <c r="AO16" s="4">
        <v>254.89311307421863</v>
      </c>
      <c r="AQ16" s="4">
        <v>73.63951174757122</v>
      </c>
      <c r="AR16" s="4">
        <v>63.741440530658963</v>
      </c>
      <c r="AS16" s="4">
        <f t="shared" si="0"/>
        <v>117.51216079598845</v>
      </c>
      <c r="AU16" s="4">
        <f>AS16/(1+'Input&amp;Output'!$D$33/100)^A16</f>
        <v>54.820290275721483</v>
      </c>
      <c r="AW16" s="4">
        <f t="shared" si="6"/>
        <v>1041.4095516420537</v>
      </c>
      <c r="AX16" s="4">
        <f t="shared" si="1"/>
        <v>0</v>
      </c>
      <c r="AZ16" s="4">
        <f t="shared" si="2"/>
        <v>117.51216079598845</v>
      </c>
      <c r="BA16" s="4">
        <f t="shared" si="2"/>
        <v>27.329572837442008</v>
      </c>
      <c r="BB16" s="4">
        <f t="shared" si="2"/>
        <v>7.9626665015727367</v>
      </c>
      <c r="BC16" s="4">
        <f t="shared" si="2"/>
        <v>2.7360432035286992</v>
      </c>
      <c r="BD16" s="4">
        <f t="shared" si="2"/>
        <v>1.0663573611317101</v>
      </c>
      <c r="BE16" s="4">
        <f t="shared" si="2"/>
        <v>0.45903187810932988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'Input&amp;Output'!$D$30*C17</f>
        <v>96.859382968203093</v>
      </c>
      <c r="G17" s="4">
        <f>'Input&amp;Output'!$D$30*D17</f>
        <v>145.28907445230462</v>
      </c>
      <c r="I17" s="4">
        <f t="shared" si="3"/>
        <v>242.14845742050773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v>78.684798950472654</v>
      </c>
      <c r="U17" s="4">
        <v>78.684798950472654</v>
      </c>
      <c r="W17" s="4">
        <f t="shared" si="4"/>
        <v>242.14845742050773</v>
      </c>
      <c r="AG17" s="4">
        <f>IF(A17&lt;='Input&amp;Output'!$D$38,$K$8/'Input&amp;Output'!$D$38,0)</f>
        <v>21.9</v>
      </c>
      <c r="AH17" s="4">
        <v>78.684798950472654</v>
      </c>
      <c r="AK17" s="4">
        <f t="shared" si="5"/>
        <v>141.56365847003505</v>
      </c>
      <c r="AL17" s="4">
        <f>AK17*('Input&amp;Output'!$D$32/100)</f>
        <v>56.625463388014026</v>
      </c>
      <c r="AM17" s="8"/>
      <c r="AN17" s="5"/>
      <c r="AO17" s="4">
        <v>242.14845742050773</v>
      </c>
      <c r="AQ17" s="4">
        <v>78.684798950472654</v>
      </c>
      <c r="AR17" s="4">
        <v>56.625463388014026</v>
      </c>
      <c r="AS17" s="4">
        <f t="shared" si="0"/>
        <v>106.83819508202103</v>
      </c>
      <c r="AU17" s="4">
        <f>AS17/(1+'Input&amp;Output'!$D$33/100)^A17</f>
        <v>45.309824085500026</v>
      </c>
      <c r="AW17" s="4">
        <f t="shared" si="6"/>
        <v>1148.2477467240747</v>
      </c>
      <c r="AX17" s="4">
        <f t="shared" si="1"/>
        <v>0</v>
      </c>
      <c r="AZ17" s="4">
        <f t="shared" si="2"/>
        <v>106.83819508202103</v>
      </c>
      <c r="BA17" s="4">
        <f t="shared" si="2"/>
        <v>20.705957965945029</v>
      </c>
      <c r="BB17" s="4">
        <f t="shared" si="2"/>
        <v>5.1709962326186227</v>
      </c>
      <c r="BC17" s="4">
        <f t="shared" si="2"/>
        <v>1.5547003579852889</v>
      </c>
      <c r="BD17" s="4">
        <f t="shared" si="2"/>
        <v>0.53860948425361221</v>
      </c>
      <c r="BE17" s="4">
        <f t="shared" si="2"/>
        <v>0.20866834976957233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'Input&amp;Output'!$D$30*C18</f>
        <v>92.01641381979293</v>
      </c>
      <c r="G18" s="4">
        <f>'Input&amp;Output'!$D$30*D18</f>
        <v>138.02462072968939</v>
      </c>
      <c r="I18" s="4">
        <f t="shared" si="3"/>
        <v>230.04103454948233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v>84.086720169074482</v>
      </c>
      <c r="U18" s="4">
        <v>84.086720169074482</v>
      </c>
      <c r="W18" s="4">
        <f t="shared" si="4"/>
        <v>230.04103454948233</v>
      </c>
      <c r="AG18" s="4">
        <f>IF(A18&lt;='Input&amp;Output'!$D$38,$K$8/'Input&amp;Output'!$D$38,0)</f>
        <v>21.9</v>
      </c>
      <c r="AH18" s="4">
        <v>84.086720169074482</v>
      </c>
      <c r="AK18" s="4">
        <f t="shared" si="5"/>
        <v>124.05431438040785</v>
      </c>
      <c r="AL18" s="4">
        <f>AK18*('Input&amp;Output'!$D$32/100)</f>
        <v>49.621725752163144</v>
      </c>
      <c r="AM18" s="8"/>
      <c r="AN18" s="5"/>
      <c r="AO18" s="4">
        <v>230.04103454948233</v>
      </c>
      <c r="AQ18" s="4">
        <v>84.086720169074482</v>
      </c>
      <c r="AR18" s="4">
        <v>49.621725752163144</v>
      </c>
      <c r="AS18" s="4">
        <f t="shared" si="0"/>
        <v>96.332588628244707</v>
      </c>
      <c r="AU18" s="4">
        <f>AS18/(1+'Input&amp;Output'!$D$33/100)^A18</f>
        <v>37.140383098995343</v>
      </c>
      <c r="AW18" s="4">
        <f t="shared" si="6"/>
        <v>1244.5803353523193</v>
      </c>
      <c r="AX18" s="4">
        <f t="shared" si="1"/>
        <v>0</v>
      </c>
      <c r="AZ18" s="4">
        <f t="shared" si="2"/>
        <v>96.332588628244707</v>
      </c>
      <c r="BA18" s="4">
        <f t="shared" si="2"/>
        <v>15.558250877692387</v>
      </c>
      <c r="BB18" s="4">
        <f t="shared" si="2"/>
        <v>3.3303729765814025</v>
      </c>
      <c r="BC18" s="4">
        <f t="shared" si="2"/>
        <v>0.87613978965459505</v>
      </c>
      <c r="BD18" s="4">
        <f t="shared" si="2"/>
        <v>0.26980387303353137</v>
      </c>
      <c r="BE18" s="4">
        <f t="shared" si="2"/>
        <v>9.4074793582270222E-2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'Input&amp;Output'!$D$30*C19</f>
        <v>87.41559312880328</v>
      </c>
      <c r="G19" s="4">
        <f>'Input&amp;Output'!$D$30*D19</f>
        <v>131.12338969320493</v>
      </c>
      <c r="I19" s="4">
        <f t="shared" si="3"/>
        <v>218.53898282200822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v>89.871113839195871</v>
      </c>
      <c r="U19" s="4">
        <v>89.871113839195871</v>
      </c>
      <c r="W19" s="4">
        <f t="shared" si="4"/>
        <v>218.53898282200822</v>
      </c>
      <c r="AG19" s="4">
        <f>IF(A19&lt;='Input&amp;Output'!$D$38,$K$8/'Input&amp;Output'!$D$38,0)</f>
        <v>0</v>
      </c>
      <c r="AH19" s="4">
        <v>89.871113839195871</v>
      </c>
      <c r="AK19" s="4">
        <f t="shared" si="5"/>
        <v>128.66786898281237</v>
      </c>
      <c r="AL19" s="4">
        <f>AK19*('Input&amp;Output'!$D$32/100)</f>
        <v>51.467147593124949</v>
      </c>
      <c r="AM19" s="8"/>
      <c r="AN19" s="5"/>
      <c r="AO19" s="4">
        <v>218.53898282200822</v>
      </c>
      <c r="AQ19" s="4">
        <v>89.871113839195871</v>
      </c>
      <c r="AR19" s="4">
        <v>51.467147593124949</v>
      </c>
      <c r="AS19" s="4">
        <f t="shared" si="0"/>
        <v>77.200721389687416</v>
      </c>
      <c r="AU19" s="4">
        <f>AS19/(1+'Input&amp;Output'!$D$33/100)^A19</f>
        <v>27.058381882648067</v>
      </c>
      <c r="AW19" s="4">
        <f t="shared" si="6"/>
        <v>1321.7810567420067</v>
      </c>
      <c r="AX19" s="4">
        <f t="shared" si="1"/>
        <v>0</v>
      </c>
      <c r="AZ19" s="4">
        <f t="shared" si="2"/>
        <v>77.200721389687416</v>
      </c>
      <c r="BA19" s="4">
        <f t="shared" si="2"/>
        <v>10.390289589631708</v>
      </c>
      <c r="BB19" s="4">
        <f t="shared" si="2"/>
        <v>1.9063953327140297</v>
      </c>
      <c r="BC19" s="4">
        <f t="shared" si="2"/>
        <v>0.43883529423105377</v>
      </c>
      <c r="BD19" s="4">
        <f t="shared" si="2"/>
        <v>0.1201223451685082</v>
      </c>
      <c r="BE19" s="4">
        <f t="shared" si="2"/>
        <v>3.7695664741058309E-2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'Input&amp;Output'!$D$30*C20</f>
        <v>83.044813472363117</v>
      </c>
      <c r="G20" s="4">
        <f>'Input&amp;Output'!$D$30*D20</f>
        <v>124.56722020854468</v>
      </c>
      <c r="I20" s="4">
        <f t="shared" si="3"/>
        <v>207.61203368090781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v>96.065739134419545</v>
      </c>
      <c r="U20" s="4">
        <v>96.065739134419545</v>
      </c>
      <c r="W20" s="4">
        <f t="shared" si="4"/>
        <v>207.61203368090781</v>
      </c>
      <c r="AG20" s="4">
        <f>IF(A20&lt;='Input&amp;Output'!$D$38,$K$8/'Input&amp;Output'!$D$38,0)</f>
        <v>0</v>
      </c>
      <c r="AH20" s="4">
        <v>96.065739134419545</v>
      </c>
      <c r="AK20" s="4">
        <f t="shared" si="5"/>
        <v>111.54629454648827</v>
      </c>
      <c r="AL20" s="4">
        <f>AK20*('Input&amp;Output'!$D$32/100)</f>
        <v>44.618517818595308</v>
      </c>
      <c r="AM20" s="8"/>
      <c r="AN20" s="5"/>
      <c r="AO20" s="4">
        <v>207.61203368090781</v>
      </c>
      <c r="AQ20" s="4">
        <v>96.065739134419545</v>
      </c>
      <c r="AR20" s="4">
        <v>44.618517818595308</v>
      </c>
      <c r="AS20" s="4">
        <f t="shared" si="0"/>
        <v>66.927776727892962</v>
      </c>
      <c r="AU20" s="4">
        <f>AS20/(1+'Input&amp;Output'!$D$33/100)^A20</f>
        <v>21.325252226344706</v>
      </c>
      <c r="AW20" s="4">
        <f t="shared" si="6"/>
        <v>1388.7088334698997</v>
      </c>
      <c r="AX20" s="4">
        <f t="shared" si="1"/>
        <v>0</v>
      </c>
      <c r="AZ20" s="4">
        <f t="shared" si="2"/>
        <v>66.927776727892962</v>
      </c>
      <c r="BA20" s="4">
        <f t="shared" si="2"/>
        <v>7.5063955499720878</v>
      </c>
      <c r="BB20" s="4">
        <f t="shared" si="2"/>
        <v>1.1805108154267436</v>
      </c>
      <c r="BC20" s="4">
        <f t="shared" si="2"/>
        <v>0.23777522787289082</v>
      </c>
      <c r="BD20" s="4">
        <f t="shared" si="2"/>
        <v>5.7854392439961627E-2</v>
      </c>
      <c r="BE20" s="4">
        <f t="shared" si="2"/>
        <v>1.6339789240208243E-2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'Input&amp;Output'!$D$30*C21</f>
        <v>78.892572798744965</v>
      </c>
      <c r="G21" s="4">
        <f>'Input&amp;Output'!$D$30*D21</f>
        <v>118.33885919811743</v>
      </c>
      <c r="I21" s="4">
        <f t="shared" si="3"/>
        <v>197.2314319968624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v>102.70042290464741</v>
      </c>
      <c r="U21" s="4">
        <v>102.70042290464741</v>
      </c>
      <c r="W21" s="4">
        <f t="shared" si="4"/>
        <v>197.2314319968624</v>
      </c>
      <c r="AG21" s="4">
        <f>IF(A21&lt;='Input&amp;Output'!$D$38,$K$8/'Input&amp;Output'!$D$38,0)</f>
        <v>0</v>
      </c>
      <c r="AH21" s="4">
        <v>102.70042290464741</v>
      </c>
      <c r="AK21" s="4">
        <f t="shared" si="5"/>
        <v>94.531009092214987</v>
      </c>
      <c r="AL21" s="4">
        <f>AK21*('Input&amp;Output'!$D$32/100)</f>
        <v>37.812403636885996</v>
      </c>
      <c r="AM21" s="8"/>
      <c r="AN21" s="5"/>
      <c r="AO21" s="4">
        <v>197.2314319968624</v>
      </c>
      <c r="AQ21" s="4">
        <v>102.70042290464741</v>
      </c>
      <c r="AR21" s="4">
        <v>37.812403636885996</v>
      </c>
      <c r="AS21" s="4">
        <f t="shared" si="0"/>
        <v>56.718605455328991</v>
      </c>
      <c r="AU21" s="4">
        <f>AS21/(1+'Input&amp;Output'!$D$33/100)^A21</f>
        <v>16.429359668747786</v>
      </c>
      <c r="AW21" s="4">
        <f t="shared" si="6"/>
        <v>1445.4274389252287</v>
      </c>
      <c r="AX21" s="4">
        <f t="shared" si="1"/>
        <v>0</v>
      </c>
      <c r="AZ21" s="4">
        <f t="shared" si="2"/>
        <v>56.718605455328991</v>
      </c>
      <c r="BA21" s="4">
        <f t="shared" si="2"/>
        <v>5.301140876598434</v>
      </c>
      <c r="BB21" s="4">
        <f t="shared" si="2"/>
        <v>0.71459682201439889</v>
      </c>
      <c r="BC21" s="4">
        <f t="shared" si="2"/>
        <v>0.12594060340227234</v>
      </c>
      <c r="BD21" s="4">
        <f t="shared" si="2"/>
        <v>2.7238486844318455E-2</v>
      </c>
      <c r="BE21" s="4">
        <f t="shared" si="2"/>
        <v>6.9236578924962147E-3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'Input&amp;Output'!$D$30*C22</f>
        <v>74.947944158807701</v>
      </c>
      <c r="G22" s="4">
        <f>'Input&amp;Output'!$D$30*D22</f>
        <v>112.42191623821157</v>
      </c>
      <c r="I22" s="4">
        <f t="shared" si="3"/>
        <v>187.36986039701927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v>109.80721821883162</v>
      </c>
      <c r="U22" s="4">
        <v>109.80721821883162</v>
      </c>
      <c r="W22" s="4">
        <f t="shared" si="4"/>
        <v>187.36986039701927</v>
      </c>
      <c r="AG22" s="4">
        <f>IF(A22&lt;='Input&amp;Output'!$D$38,$K$8/'Input&amp;Output'!$D$38,0)</f>
        <v>0</v>
      </c>
      <c r="AH22" s="4">
        <v>109.80721821883162</v>
      </c>
      <c r="AK22" s="4">
        <f t="shared" si="5"/>
        <v>77.562642178187645</v>
      </c>
      <c r="AL22" s="4">
        <f>AK22*('Input&amp;Output'!$D$32/100)</f>
        <v>31.025056871275059</v>
      </c>
      <c r="AM22" s="8"/>
      <c r="AN22" s="5"/>
      <c r="AO22" s="4">
        <v>187.36986039701927</v>
      </c>
      <c r="AQ22" s="4">
        <v>109.80721821883162</v>
      </c>
      <c r="AR22" s="4">
        <v>31.025056871275059</v>
      </c>
      <c r="AS22" s="4">
        <f t="shared" si="0"/>
        <v>46.53758530691259</v>
      </c>
      <c r="AU22" s="4">
        <f>AS22/(1+'Input&amp;Output'!$D$33/100)^A22</f>
        <v>12.25480071124548</v>
      </c>
      <c r="AW22" s="4">
        <f t="shared" si="6"/>
        <v>1491.9650242321413</v>
      </c>
      <c r="AX22" s="4">
        <f t="shared" si="1"/>
        <v>0</v>
      </c>
      <c r="AZ22" s="4">
        <f t="shared" si="2"/>
        <v>46.53758530691259</v>
      </c>
      <c r="BA22" s="4">
        <f t="shared" si="2"/>
        <v>3.6246527012340084</v>
      </c>
      <c r="BB22" s="4">
        <f t="shared" si="2"/>
        <v>0.41880450613002251</v>
      </c>
      <c r="BC22" s="4">
        <f t="shared" si="2"/>
        <v>6.4583873397739577E-2</v>
      </c>
      <c r="BD22" s="4">
        <f t="shared" si="2"/>
        <v>1.2416202124040097E-2</v>
      </c>
      <c r="BE22" s="4">
        <f t="shared" si="2"/>
        <v>2.8404287907051141E-3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'Input&amp;Output'!$D$30*C23</f>
        <v>71.20054695086732</v>
      </c>
      <c r="G23" s="4">
        <f>'Input&amp;Output'!$D$30*D23</f>
        <v>106.80082042630097</v>
      </c>
      <c r="I23" s="4">
        <f t="shared" si="3"/>
        <v>178.00136737716829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v>117.42057545990087</v>
      </c>
      <c r="U23" s="4">
        <v>117.42057545990087</v>
      </c>
      <c r="W23" s="4">
        <f t="shared" si="4"/>
        <v>178.00136737716829</v>
      </c>
      <c r="AG23" s="4">
        <f>IF(A23&lt;='Input&amp;Output'!$D$38,$K$8/'Input&amp;Output'!$D$38,0)</f>
        <v>0</v>
      </c>
      <c r="AH23" s="4">
        <v>117.42057545990087</v>
      </c>
      <c r="AK23" s="4">
        <f t="shared" si="5"/>
        <v>60.580791917267419</v>
      </c>
      <c r="AL23" s="4">
        <f>AK23*('Input&amp;Output'!$D$32/100)</f>
        <v>24.232316766906969</v>
      </c>
      <c r="AM23" s="8"/>
      <c r="AN23" s="5"/>
      <c r="AO23" s="4">
        <v>178.00136737716829</v>
      </c>
      <c r="AQ23" s="4">
        <v>117.42057545990087</v>
      </c>
      <c r="AR23" s="4">
        <v>24.232316766906969</v>
      </c>
      <c r="AS23" s="4">
        <f t="shared" si="0"/>
        <v>36.34847515036045</v>
      </c>
      <c r="AU23" s="4">
        <f>AS23/(1+'Input&amp;Output'!$D$33/100)^A23</f>
        <v>8.7015359576888986</v>
      </c>
      <c r="AW23" s="4">
        <f t="shared" si="6"/>
        <v>1528.3134993825017</v>
      </c>
      <c r="AX23" s="4">
        <f t="shared" si="1"/>
        <v>0</v>
      </c>
      <c r="AZ23" s="4">
        <f t="shared" si="2"/>
        <v>36.34847515036045</v>
      </c>
      <c r="BA23" s="4">
        <f t="shared" si="2"/>
        <v>2.359214918626237</v>
      </c>
      <c r="BB23" s="4">
        <f t="shared" si="2"/>
        <v>0.23364993329787645</v>
      </c>
      <c r="BC23" s="4">
        <f t="shared" si="2"/>
        <v>3.1527276579644888E-2</v>
      </c>
      <c r="BD23" s="4">
        <f t="shared" si="2"/>
        <v>5.3876406372655753E-3</v>
      </c>
      <c r="BE23" s="4">
        <f t="shared" si="2"/>
        <v>1.1092674301257462E-3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'Input&amp;Output'!$D$30*C24</f>
        <v>67.640519603323952</v>
      </c>
      <c r="G24" s="4">
        <f>'Input&amp;Output'!$D$30*D24</f>
        <v>101.46077940498593</v>
      </c>
      <c r="I24" s="4">
        <f t="shared" si="3"/>
        <v>169.10129900830987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v>125.57752700005267</v>
      </c>
      <c r="U24" s="4">
        <v>125.57752700005267</v>
      </c>
      <c r="W24" s="4">
        <f t="shared" si="4"/>
        <v>169.10129900830987</v>
      </c>
      <c r="AG24" s="4">
        <f>IF(A24&lt;='Input&amp;Output'!$D$38,$K$8/'Input&amp;Output'!$D$38,0)</f>
        <v>0</v>
      </c>
      <c r="AH24" s="4">
        <v>125.57752700005267</v>
      </c>
      <c r="AK24" s="4">
        <f t="shared" si="5"/>
        <v>43.523772008257197</v>
      </c>
      <c r="AL24" s="4">
        <f>AK24*('Input&amp;Output'!$D$32/100)</f>
        <v>17.409508803302881</v>
      </c>
      <c r="AM24" s="8"/>
      <c r="AN24" s="5"/>
      <c r="AO24" s="4">
        <v>169.10129900830987</v>
      </c>
      <c r="AQ24" s="4">
        <v>125.57752700005267</v>
      </c>
      <c r="AR24" s="4">
        <v>17.409508803302881</v>
      </c>
      <c r="AS24" s="4">
        <f t="shared" si="0"/>
        <v>26.114263204954316</v>
      </c>
      <c r="AU24" s="4">
        <f>AS24/(1+'Input&amp;Output'!$D$33/100)^A24</f>
        <v>5.6832245330906828</v>
      </c>
      <c r="AW24" s="4">
        <f t="shared" si="6"/>
        <v>1554.4277625874561</v>
      </c>
      <c r="AX24" s="4">
        <f t="shared" si="1"/>
        <v>0</v>
      </c>
      <c r="AZ24" s="4">
        <f t="shared" si="2"/>
        <v>26.114263204954316</v>
      </c>
      <c r="BA24" s="4">
        <f t="shared" si="2"/>
        <v>1.4124654722379621</v>
      </c>
      <c r="BB24" s="4">
        <f t="shared" si="2"/>
        <v>0.11990276720630109</v>
      </c>
      <c r="BC24" s="4">
        <f t="shared" si="2"/>
        <v>1.4156570449834847E-2</v>
      </c>
      <c r="BD24" s="4">
        <f t="shared" si="2"/>
        <v>2.1503922955847664E-3</v>
      </c>
      <c r="BE24" s="4">
        <f t="shared" si="2"/>
        <v>3.9847203376700311E-4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'Input&amp;Output'!$D$30*C25</f>
        <v>64.258493623157747</v>
      </c>
      <c r="G25" s="4">
        <f>'Input&amp;Output'!$D$30*D25</f>
        <v>96.387740434736614</v>
      </c>
      <c r="I25" s="4">
        <f t="shared" si="3"/>
        <v>160.64623405789436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v>134.31788657173794</v>
      </c>
      <c r="U25" s="4">
        <v>134.31788657173794</v>
      </c>
      <c r="W25" s="4">
        <f t="shared" si="4"/>
        <v>160.64623405789436</v>
      </c>
      <c r="AG25" s="4">
        <f>IF(A25&lt;='Input&amp;Output'!$D$38,$K$8/'Input&amp;Output'!$D$38,0)</f>
        <v>0</v>
      </c>
      <c r="AH25" s="4">
        <v>134.31788657173794</v>
      </c>
      <c r="AK25" s="4">
        <f t="shared" si="5"/>
        <v>26.328347486156417</v>
      </c>
      <c r="AL25" s="4">
        <f>AK25*('Input&amp;Output'!$D$32/100)</f>
        <v>10.531338994462567</v>
      </c>
      <c r="AM25" s="8"/>
      <c r="AN25" s="5"/>
      <c r="AO25" s="4">
        <v>160.64623405789436</v>
      </c>
      <c r="AQ25" s="4">
        <v>134.31788657173794</v>
      </c>
      <c r="AR25" s="4">
        <v>10.531338994462567</v>
      </c>
      <c r="AS25" s="4">
        <f t="shared" si="0"/>
        <v>15.79700849169385</v>
      </c>
      <c r="AU25" s="4">
        <f>AS25/(1+'Input&amp;Output'!$D$33/100)^A25</f>
        <v>3.1253539146517912</v>
      </c>
      <c r="AW25" s="4">
        <f t="shared" si="6"/>
        <v>1570.2247710791498</v>
      </c>
      <c r="AX25" s="4">
        <f t="shared" si="1"/>
        <v>0</v>
      </c>
      <c r="AZ25" s="4">
        <f t="shared" si="2"/>
        <v>15.79700849169385</v>
      </c>
      <c r="BA25" s="4">
        <f t="shared" si="2"/>
        <v>0.71202241995906512</v>
      </c>
      <c r="BB25" s="4">
        <f t="shared" si="2"/>
        <v>5.1808169156719847E-2</v>
      </c>
      <c r="BC25" s="4">
        <f t="shared" si="2"/>
        <v>5.3522346642082509E-3</v>
      </c>
      <c r="BD25" s="4">
        <f t="shared" si="2"/>
        <v>7.2267372489590606E-4</v>
      </c>
      <c r="BE25" s="4">
        <f t="shared" si="2"/>
        <v>1.2052161019663887E-4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'Input&amp;Output'!$D$30*C26</f>
        <v>61.045568941999861</v>
      </c>
      <c r="G26" s="4">
        <f>'Input&amp;Output'!$D$30*D26</f>
        <v>91.568353412999798</v>
      </c>
      <c r="I26" s="4">
        <f t="shared" si="3"/>
        <v>152.61392235499966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v>143.68446454444995</v>
      </c>
      <c r="U26" s="4">
        <v>143.68446454444995</v>
      </c>
      <c r="W26" s="4">
        <f t="shared" si="4"/>
        <v>152.61392235499966</v>
      </c>
      <c r="AG26" s="4">
        <f>IF(A26&lt;='Input&amp;Output'!$D$38,$K$8/'Input&amp;Output'!$D$38,0)</f>
        <v>0</v>
      </c>
      <c r="AH26" s="4">
        <v>143.68446454444995</v>
      </c>
      <c r="AK26" s="4">
        <f t="shared" si="5"/>
        <v>8.9294578105497067</v>
      </c>
      <c r="AL26" s="4">
        <f>AK26*('Input&amp;Output'!$D$32/100)</f>
        <v>3.5717831242198828</v>
      </c>
      <c r="AM26" s="8"/>
      <c r="AN26" s="5"/>
      <c r="AO26" s="4">
        <v>152.61392235499966</v>
      </c>
      <c r="AQ26" s="4">
        <v>143.68446454444995</v>
      </c>
      <c r="AR26" s="4">
        <v>3.5717831242198828</v>
      </c>
      <c r="AS26" s="4">
        <f t="shared" si="0"/>
        <v>5.3576746863298244</v>
      </c>
      <c r="AU26" s="4">
        <f>AS26/(1+'Input&amp;Output'!$D$33/100)^A26</f>
        <v>0.96362488581050798</v>
      </c>
      <c r="AW26" s="4">
        <f t="shared" si="6"/>
        <v>1575.5824457654796</v>
      </c>
      <c r="AX26" s="4">
        <f t="shared" si="1"/>
        <v>0</v>
      </c>
      <c r="AZ26" s="4">
        <f t="shared" si="2"/>
        <v>5.3576746863298244</v>
      </c>
      <c r="BA26" s="4">
        <f t="shared" si="2"/>
        <v>0.20123981583389772</v>
      </c>
      <c r="BB26" s="4">
        <f t="shared" si="2"/>
        <v>1.2550808346403052E-2</v>
      </c>
      <c r="BC26" s="4">
        <f t="shared" si="2"/>
        <v>1.1345317449979256E-3</v>
      </c>
      <c r="BD26" s="4">
        <f t="shared" si="2"/>
        <v>1.3616680526661878E-4</v>
      </c>
      <c r="BE26" s="4">
        <f t="shared" si="2"/>
        <v>2.0437906976050661E-5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'Input&amp;Output'!$D$30*C27</f>
        <v>57.993290494899867</v>
      </c>
      <c r="G27" s="4">
        <f>'Input&amp;Output'!$D$30*D27</f>
        <v>86.989935742349786</v>
      </c>
      <c r="I27" s="4">
        <f t="shared" si="3"/>
        <v>144.98322623724965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v>153.72330042053716</v>
      </c>
      <c r="U27" s="4">
        <v>153.72330042053716</v>
      </c>
      <c r="W27" s="4">
        <f t="shared" si="4"/>
        <v>144.98322623724965</v>
      </c>
      <c r="AG27" s="4">
        <f>IF(A27&lt;='Input&amp;Output'!$D$38,$K$8/'Input&amp;Output'!$D$38,0)</f>
        <v>0</v>
      </c>
      <c r="AH27" s="4">
        <v>153.72330042053716</v>
      </c>
      <c r="AK27" s="4">
        <f t="shared" si="5"/>
        <v>0</v>
      </c>
      <c r="AL27" s="4">
        <f>AK27*('Input&amp;Output'!$D$32/100)</f>
        <v>0</v>
      </c>
      <c r="AM27" s="8"/>
      <c r="AN27" s="5"/>
      <c r="AO27" s="4">
        <v>144.98322623724965</v>
      </c>
      <c r="AQ27" s="4">
        <v>153.72330042053716</v>
      </c>
      <c r="AR27" s="4">
        <v>0</v>
      </c>
      <c r="AS27" s="4">
        <f t="shared" si="0"/>
        <v>-8.7400741832875042</v>
      </c>
      <c r="AU27" s="4">
        <f>AS27/(1+'Input&amp;Output'!$D$33/100)^A27</f>
        <v>-1.4290719693844081</v>
      </c>
      <c r="AW27" s="4">
        <f t="shared" si="6"/>
        <v>1566.8423715821921</v>
      </c>
      <c r="AX27" s="4">
        <f t="shared" si="1"/>
        <v>0</v>
      </c>
      <c r="AZ27" s="4">
        <f t="shared" si="2"/>
        <v>-8.7400741832875042</v>
      </c>
      <c r="BA27" s="4">
        <f t="shared" si="2"/>
        <v>-0.27357187305951841</v>
      </c>
      <c r="BB27" s="4">
        <f t="shared" si="2"/>
        <v>-1.4624547618934497E-2</v>
      </c>
      <c r="BC27" s="4">
        <f t="shared" si="2"/>
        <v>-1.1567391866705034E-3</v>
      </c>
      <c r="BD27" s="4">
        <f t="shared" si="2"/>
        <v>-1.2340635412515883E-4</v>
      </c>
      <c r="BE27" s="4">
        <f t="shared" si="2"/>
        <v>-1.6670368544173249E-5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'Input&amp;Output'!$D$30*C28</f>
        <v>55.093625970154875</v>
      </c>
      <c r="G28" s="4">
        <f>'Input&amp;Output'!$D$30*D28</f>
        <v>82.640438955232312</v>
      </c>
      <c r="H28" s="11"/>
      <c r="I28" s="4">
        <f t="shared" si="3"/>
        <v>137.7340649253872</v>
      </c>
      <c r="M28" s="11">
        <v>1.4859473959783542</v>
      </c>
      <c r="N28" s="11">
        <v>7.9598931154332622</v>
      </c>
      <c r="O28" s="11">
        <v>16.035677361064241</v>
      </c>
      <c r="P28" s="11">
        <v>0.43926841438126812</v>
      </c>
      <c r="Q28" s="11">
        <v>14.733224889023084</v>
      </c>
      <c r="R28" s="11">
        <v>7.739368924972359</v>
      </c>
      <c r="S28" s="11">
        <v>116.09053387458539</v>
      </c>
      <c r="T28" s="11">
        <v>164.48391397543796</v>
      </c>
      <c r="U28" s="11">
        <v>164.48391397543796</v>
      </c>
      <c r="W28" s="4">
        <f t="shared" si="4"/>
        <v>137.7340649253872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5"/>
        <v>0</v>
      </c>
      <c r="AL28" s="4">
        <f>AK28*('Input&amp;Output'!$D$32/100)</f>
        <v>0</v>
      </c>
      <c r="AM28" s="18"/>
      <c r="AN28" s="5"/>
      <c r="AO28" s="11">
        <v>137.7340649253872</v>
      </c>
      <c r="AP28" s="11"/>
      <c r="AQ28" s="11">
        <v>164.48391397543796</v>
      </c>
      <c r="AR28" s="11">
        <v>0</v>
      </c>
      <c r="AS28" s="4">
        <f t="shared" si="0"/>
        <v>-26.749849050050756</v>
      </c>
      <c r="AU28" s="4">
        <f>AS28/(1+'Input&amp;Output'!$D$33/100)^A28</f>
        <v>-3.9761946118977325</v>
      </c>
      <c r="AV28" s="14"/>
      <c r="AW28" s="4">
        <f t="shared" si="6"/>
        <v>1540.0925225321414</v>
      </c>
      <c r="AX28" s="4">
        <f t="shared" si="1"/>
        <v>0</v>
      </c>
      <c r="AZ28" s="4">
        <f t="shared" si="2"/>
        <v>-26.749849050050756</v>
      </c>
      <c r="BA28" s="4">
        <f t="shared" si="2"/>
        <v>-0.69774448851122894</v>
      </c>
      <c r="BB28" s="4">
        <f t="shared" si="2"/>
        <v>-3.1971324027352567E-2</v>
      </c>
      <c r="BC28" s="4">
        <f t="shared" si="2"/>
        <v>-2.2126956522921962E-3</v>
      </c>
      <c r="BD28" s="4">
        <f t="shared" si="2"/>
        <v>-2.0983176492797136E-4</v>
      </c>
      <c r="BE28" s="4">
        <f t="shared" si="2"/>
        <v>-2.551064400677753E-5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2809.8316598505835</v>
      </c>
      <c r="I30" s="12">
        <f>SUM(I9:I29)</f>
        <v>4683.0527664176398</v>
      </c>
      <c r="M30" s="12">
        <f t="shared" ref="M30:W30" si="7">SUM(M9:M29)</f>
        <v>24.783317194896075</v>
      </c>
      <c r="N30" s="12">
        <f t="shared" si="7"/>
        <v>104.15775542409848</v>
      </c>
      <c r="O30" s="12">
        <f t="shared" si="7"/>
        <v>194.9636333788014</v>
      </c>
      <c r="P30" s="12">
        <f t="shared" si="7"/>
        <v>8.0061098525080752</v>
      </c>
      <c r="Q30" s="12">
        <f t="shared" si="7"/>
        <v>137.97547377925386</v>
      </c>
      <c r="R30" s="12">
        <f t="shared" si="7"/>
        <v>87.730353567434619</v>
      </c>
      <c r="S30" s="12">
        <f t="shared" si="7"/>
        <v>1315.9553035115193</v>
      </c>
      <c r="U30" s="12">
        <f t="shared" si="7"/>
        <v>1873.5719467085121</v>
      </c>
      <c r="W30" s="12">
        <f t="shared" si="7"/>
        <v>4683.0527664176398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2625.9707429424661</v>
      </c>
      <c r="AL30" s="12">
        <f>SUM(AL9:AL29)</f>
        <v>1050.3882971769867</v>
      </c>
      <c r="AM30" s="19" t="s">
        <v>82</v>
      </c>
      <c r="AO30" s="12">
        <f>SUM(AO8:AO29)</f>
        <v>4683.0527664176398</v>
      </c>
      <c r="AP30" s="12">
        <f>SUM(AP8:AP29)</f>
        <v>219</v>
      </c>
      <c r="AQ30" s="12">
        <f>SUM(AQ8:AQ29)</f>
        <v>1873.5719467085121</v>
      </c>
      <c r="AR30" s="12">
        <f>SUM(AR8:AR29)</f>
        <v>1050.3882971769867</v>
      </c>
      <c r="AS30" s="12">
        <f>SUM(AS8:AS29)</f>
        <v>1540.0925225321414</v>
      </c>
      <c r="AU30" s="15">
        <f>SUM(AU8:AU29)</f>
        <v>825.24822815922471</v>
      </c>
      <c r="AX30" s="16">
        <f>SUM(AX8:AX29)</f>
        <v>1.1022762750671766</v>
      </c>
      <c r="AZ30" s="12">
        <f t="shared" ref="AZ30:BE30" si="8">SUM(AZ8:AZ29)</f>
        <v>1540.0925225321414</v>
      </c>
      <c r="BA30" s="12">
        <f t="shared" si="8"/>
        <v>494.22707087600321</v>
      </c>
      <c r="BB30" s="12">
        <f t="shared" si="8"/>
        <v>204.97031595929172</v>
      </c>
      <c r="BC30" s="12">
        <f t="shared" si="8"/>
        <v>79.99219993043144</v>
      </c>
      <c r="BD30" s="12">
        <f t="shared" si="8"/>
        <v>11.481280850100811</v>
      </c>
      <c r="BE30" s="12">
        <f t="shared" si="8"/>
        <v>-31.590734366206512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825.24822815922471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0.84565702912404195</v>
      </c>
    </row>
    <row r="34" spans="45:48" ht="12" customHeight="1" thickBot="1" x14ac:dyDescent="0.25">
      <c r="AS34" s="75" t="s">
        <v>136</v>
      </c>
      <c r="AT34" s="76"/>
      <c r="AU34" s="77">
        <f>AX30</f>
        <v>1.1022762750671766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3.7682567495855008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EDCC-26BE-481F-AF41-C3BC32462C81}">
  <dimension ref="A1:BM35"/>
  <sheetViews>
    <sheetView workbookViewId="0">
      <selection activeCell="AW10" sqref="AW10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'Cash Flow'!M8:S8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'Input&amp;Output'!$D$30*C9</f>
        <v>146</v>
      </c>
      <c r="G9" s="4">
        <f>'Input&amp;Output'!$D$30*D9</f>
        <v>219</v>
      </c>
      <c r="I9" s="4">
        <f>SUM(F9:G9)</f>
        <v>365</v>
      </c>
      <c r="M9" s="4" cm="1">
        <f t="array" ref="M9:U28">'Cash Flow'!M9:U28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v>46.482600000000005</v>
      </c>
      <c r="U9" s="4">
        <v>46.482600000000005</v>
      </c>
      <c r="W9" s="4">
        <f>I9</f>
        <v>365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296.61740000000003</v>
      </c>
      <c r="AL9" s="4">
        <f>AK9*('Input&amp;Output'!$D$32/100)</f>
        <v>118.64696000000002</v>
      </c>
      <c r="AM9" s="8"/>
      <c r="AN9" s="5"/>
      <c r="AO9" s="4" cm="1">
        <f t="array" ref="AO9:AO28">W9:W28</f>
        <v>365</v>
      </c>
      <c r="AQ9" s="4" cm="1">
        <f t="array" ref="AQ9:AQ28">AH9:AH28</f>
        <v>46.482600000000005</v>
      </c>
      <c r="AR9" s="4" cm="1">
        <f t="array" ref="AR9:AR28">AL9:AL28</f>
        <v>118.64696000000002</v>
      </c>
      <c r="AS9" s="4">
        <f t="shared" ref="AS9:AS28" si="0">AO9-AP9-AQ9-AR9</f>
        <v>199.87043999999997</v>
      </c>
      <c r="AU9" s="4">
        <f>AS9/(1+'Input&amp;Output'!$D$33/100)^A9</f>
        <v>181.70039999999997</v>
      </c>
      <c r="AW9" s="4">
        <f>AW8+AS9</f>
        <v>-19.129560000000026</v>
      </c>
      <c r="AX9" s="4">
        <f t="shared" ref="AX9:AX28" si="1">IF(AND(AW9&gt;0,AW8&lt;0),A8+ABS(AW8/AS9),0)</f>
        <v>0</v>
      </c>
      <c r="AZ9" s="4">
        <f t="shared" ref="AZ9:BE28" si="2">$AS9/(1+AZ$5)^$A9</f>
        <v>199.87043999999997</v>
      </c>
      <c r="BA9" s="4">
        <f t="shared" si="2"/>
        <v>166.55869999999999</v>
      </c>
      <c r="BB9" s="4">
        <f t="shared" si="2"/>
        <v>142.7646</v>
      </c>
      <c r="BC9" s="4">
        <f t="shared" si="2"/>
        <v>124.91902499999998</v>
      </c>
      <c r="BD9" s="4">
        <f t="shared" si="2"/>
        <v>111.03913333333331</v>
      </c>
      <c r="BE9" s="4">
        <f t="shared" si="2"/>
        <v>99.935219999999987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'Input&amp;Output'!$D$30*C10</f>
        <v>138.69999999999999</v>
      </c>
      <c r="G10" s="4">
        <f>'Input&amp;Output'!$D$30*D10</f>
        <v>208.05</v>
      </c>
      <c r="I10" s="4">
        <f t="shared" ref="I10:I28" si="3">SUM(F10:G10)</f>
        <v>346.75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v>49.619836000000006</v>
      </c>
      <c r="U10" s="4">
        <v>49.619836000000006</v>
      </c>
      <c r="W10" s="4">
        <f t="shared" ref="W10:W28" si="4">I10</f>
        <v>346.75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5">MAX(0,W10-AH10-AG10)</f>
        <v>275.230164</v>
      </c>
      <c r="AL10" s="4">
        <f>AK10*('Input&amp;Output'!$D$32/100)</f>
        <v>110.09206560000001</v>
      </c>
      <c r="AM10" s="8"/>
      <c r="AN10" s="5"/>
      <c r="AO10" s="4">
        <v>346.75</v>
      </c>
      <c r="AQ10" s="4">
        <v>49.619836000000006</v>
      </c>
      <c r="AR10" s="4">
        <v>110.09206560000001</v>
      </c>
      <c r="AS10" s="4">
        <f t="shared" si="0"/>
        <v>187.03809839999997</v>
      </c>
      <c r="AU10" s="4">
        <f>AS10/(1+'Input&amp;Output'!$D$33/100)^A10</f>
        <v>154.57694082644622</v>
      </c>
      <c r="AW10" s="4">
        <f t="shared" ref="AW10:AW28" si="6">AW9+AS10</f>
        <v>167.90853839999994</v>
      </c>
      <c r="AX10" s="4">
        <f t="shared" si="1"/>
        <v>1.1022762750671766</v>
      </c>
      <c r="AZ10" s="4">
        <f t="shared" si="2"/>
        <v>187.03809839999997</v>
      </c>
      <c r="BA10" s="4">
        <f t="shared" si="2"/>
        <v>129.88756833333332</v>
      </c>
      <c r="BB10" s="4">
        <f t="shared" si="2"/>
        <v>95.427601224489791</v>
      </c>
      <c r="BC10" s="4">
        <f t="shared" si="2"/>
        <v>73.061757187499978</v>
      </c>
      <c r="BD10" s="4">
        <f t="shared" si="2"/>
        <v>57.727808148148135</v>
      </c>
      <c r="BE10" s="4">
        <f t="shared" si="2"/>
        <v>46.759524599999992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'Input&amp;Output'!$D$30*C11</f>
        <v>131.76499999999999</v>
      </c>
      <c r="G11" s="4">
        <f>'Input&amp;Output'!$D$30*D11</f>
        <v>197.64749999999998</v>
      </c>
      <c r="I11" s="4">
        <f t="shared" si="3"/>
        <v>329.41249999999997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v>52.976337360000002</v>
      </c>
      <c r="U11" s="4">
        <v>52.976337360000002</v>
      </c>
      <c r="W11" s="4">
        <f t="shared" si="4"/>
        <v>329.41249999999997</v>
      </c>
      <c r="AG11" s="4">
        <f>IF(A11&lt;='Input&amp;Output'!$D$38,$K$8/'Input&amp;Output'!$D$38,0)</f>
        <v>21.9</v>
      </c>
      <c r="AH11" s="4">
        <v>52.976337360000002</v>
      </c>
      <c r="AK11" s="4">
        <f t="shared" si="5"/>
        <v>254.53616263999996</v>
      </c>
      <c r="AL11" s="4">
        <f>AK11*('Input&amp;Output'!$D$32/100)</f>
        <v>101.81446505599999</v>
      </c>
      <c r="AM11" s="8"/>
      <c r="AN11" s="5"/>
      <c r="AO11" s="4">
        <v>329.41249999999997</v>
      </c>
      <c r="AQ11" s="4">
        <v>52.976337360000002</v>
      </c>
      <c r="AR11" s="4">
        <v>101.81446505599999</v>
      </c>
      <c r="AS11" s="4">
        <f t="shared" si="0"/>
        <v>174.62169758399997</v>
      </c>
      <c r="AU11" s="4">
        <f>AS11/(1+'Input&amp;Output'!$D$33/100)^A11</f>
        <v>131.19586595341843</v>
      </c>
      <c r="AW11" s="4">
        <f t="shared" si="6"/>
        <v>342.53023598399989</v>
      </c>
      <c r="AX11" s="4">
        <f t="shared" si="1"/>
        <v>0</v>
      </c>
      <c r="AZ11" s="4">
        <f t="shared" si="2"/>
        <v>174.62169758399997</v>
      </c>
      <c r="BA11" s="4">
        <f t="shared" si="2"/>
        <v>101.05422313888887</v>
      </c>
      <c r="BB11" s="4">
        <f t="shared" si="2"/>
        <v>63.637644892128286</v>
      </c>
      <c r="BC11" s="4">
        <f t="shared" si="2"/>
        <v>42.632250386718731</v>
      </c>
      <c r="BD11" s="4">
        <f t="shared" si="2"/>
        <v>29.941992041152254</v>
      </c>
      <c r="BE11" s="4">
        <f t="shared" si="2"/>
        <v>21.827712197999997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'Input&amp;Output'!$D$30*C12</f>
        <v>125.17674999999998</v>
      </c>
      <c r="G12" s="4">
        <f>'Input&amp;Output'!$D$30*D12</f>
        <v>187.76512499999995</v>
      </c>
      <c r="I12" s="4">
        <f t="shared" si="3"/>
        <v>312.94187499999992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v>56.567804473600006</v>
      </c>
      <c r="U12" s="4">
        <v>56.567804473600006</v>
      </c>
      <c r="W12" s="4">
        <f t="shared" si="4"/>
        <v>312.94187499999992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5"/>
        <v>234.47407052639991</v>
      </c>
      <c r="AL12" s="4">
        <f>AK12*('Input&amp;Output'!$D$32/100)</f>
        <v>93.789628210559968</v>
      </c>
      <c r="AM12" s="8"/>
      <c r="AN12" s="5"/>
      <c r="AO12" s="4">
        <v>312.94187499999992</v>
      </c>
      <c r="AQ12" s="4">
        <v>56.567804473600006</v>
      </c>
      <c r="AR12" s="4">
        <v>93.789628210559968</v>
      </c>
      <c r="AS12" s="4">
        <f t="shared" si="0"/>
        <v>162.58444231583996</v>
      </c>
      <c r="AU12" s="4">
        <f>AS12/(1+'Input&amp;Output'!$D$33/100)^A12</f>
        <v>111.04736173474484</v>
      </c>
      <c r="AW12" s="4">
        <f t="shared" si="6"/>
        <v>505.11467829983985</v>
      </c>
      <c r="AX12" s="4">
        <f t="shared" si="1"/>
        <v>0</v>
      </c>
      <c r="AZ12" s="4">
        <f t="shared" si="2"/>
        <v>162.58444231583996</v>
      </c>
      <c r="BA12" s="4">
        <f t="shared" si="2"/>
        <v>78.406849110648139</v>
      </c>
      <c r="BB12" s="4">
        <f t="shared" si="2"/>
        <v>42.322064326280717</v>
      </c>
      <c r="BC12" s="4">
        <f t="shared" si="2"/>
        <v>24.808417101415998</v>
      </c>
      <c r="BD12" s="4">
        <f t="shared" si="2"/>
        <v>15.487772663831727</v>
      </c>
      <c r="BE12" s="4">
        <f t="shared" si="2"/>
        <v>10.161527644739998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'Input&amp;Output'!$D$30*C13</f>
        <v>118.91791249999999</v>
      </c>
      <c r="G13" s="4">
        <f>'Input&amp;Output'!$D$30*D13</f>
        <v>178.37686875</v>
      </c>
      <c r="I13" s="4">
        <f t="shared" si="3"/>
        <v>297.29478124999997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v>60.411089279136007</v>
      </c>
      <c r="U13" s="4">
        <v>60.411089279136007</v>
      </c>
      <c r="W13" s="4">
        <f t="shared" si="4"/>
        <v>297.29478124999997</v>
      </c>
      <c r="AG13" s="4">
        <f>IF(A13&lt;='Input&amp;Output'!$D$38,$K$8/'Input&amp;Output'!$D$38,0)</f>
        <v>21.9</v>
      </c>
      <c r="AH13" s="4">
        <v>60.411089279136007</v>
      </c>
      <c r="AK13" s="4">
        <f t="shared" si="5"/>
        <v>214.98369197086396</v>
      </c>
      <c r="AL13" s="4">
        <f>AK13*('Input&amp;Output'!$D$32/100)</f>
        <v>85.993476788345589</v>
      </c>
      <c r="AM13" s="8"/>
      <c r="AN13" s="5"/>
      <c r="AO13" s="4">
        <v>297.29478124999997</v>
      </c>
      <c r="AQ13" s="4">
        <v>60.411089279136007</v>
      </c>
      <c r="AR13" s="4">
        <v>85.993476788345589</v>
      </c>
      <c r="AS13" s="4">
        <f t="shared" si="0"/>
        <v>150.89021518251838</v>
      </c>
      <c r="AU13" s="4">
        <f>AS13/(1+'Input&amp;Output'!$D$33/100)^A13</f>
        <v>93.690952047809901</v>
      </c>
      <c r="AW13" s="4">
        <f t="shared" si="6"/>
        <v>656.00489348235828</v>
      </c>
      <c r="AX13" s="4">
        <f t="shared" si="1"/>
        <v>0</v>
      </c>
      <c r="AZ13" s="4">
        <f t="shared" si="2"/>
        <v>150.89021518251838</v>
      </c>
      <c r="BA13" s="4">
        <f t="shared" si="2"/>
        <v>60.639393318591814</v>
      </c>
      <c r="BB13" s="4">
        <f t="shared" si="2"/>
        <v>28.055686466672821</v>
      </c>
      <c r="BC13" s="4">
        <f t="shared" si="2"/>
        <v>14.390012281658009</v>
      </c>
      <c r="BD13" s="4">
        <f t="shared" si="2"/>
        <v>7.9854345110902774</v>
      </c>
      <c r="BE13" s="4">
        <f t="shared" si="2"/>
        <v>4.7153192244536992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'Input&amp;Output'!$D$30*C14</f>
        <v>112.97201687499998</v>
      </c>
      <c r="G14" s="4">
        <f>'Input&amp;Output'!$D$30*D14</f>
        <v>169.45802531249996</v>
      </c>
      <c r="I14" s="4">
        <f t="shared" si="3"/>
        <v>282.43004218749991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v>64.524282005803371</v>
      </c>
      <c r="U14" s="4">
        <v>64.524282005803371</v>
      </c>
      <c r="W14" s="4">
        <f t="shared" si="4"/>
        <v>282.43004218749991</v>
      </c>
      <c r="AG14" s="4">
        <f>IF(A14&lt;='Input&amp;Output'!$D$38,$K$8/'Input&amp;Output'!$D$38,0)</f>
        <v>21.9</v>
      </c>
      <c r="AH14" s="4">
        <v>64.524282005803371</v>
      </c>
      <c r="AK14" s="4">
        <f t="shared" si="5"/>
        <v>196.00576018169653</v>
      </c>
      <c r="AL14" s="4">
        <f>AK14*('Input&amp;Output'!$D$32/100)</f>
        <v>78.402304072678618</v>
      </c>
      <c r="AM14" s="8"/>
      <c r="AN14" s="5"/>
      <c r="AO14" s="4">
        <v>282.43004218749991</v>
      </c>
      <c r="AQ14" s="4">
        <v>64.524282005803371</v>
      </c>
      <c r="AR14" s="4">
        <v>78.402304072678618</v>
      </c>
      <c r="AS14" s="4">
        <f t="shared" si="0"/>
        <v>139.50345610901792</v>
      </c>
      <c r="AU14" s="4">
        <f>AS14/(1+'Input&amp;Output'!$D$33/100)^A14</f>
        <v>78.746064125941956</v>
      </c>
      <c r="AW14" s="4">
        <f t="shared" si="6"/>
        <v>795.50834959137615</v>
      </c>
      <c r="AX14" s="4">
        <f t="shared" si="1"/>
        <v>0</v>
      </c>
      <c r="AZ14" s="4">
        <f t="shared" si="2"/>
        <v>139.50345610901792</v>
      </c>
      <c r="BA14" s="4">
        <f t="shared" si="2"/>
        <v>46.719425190830869</v>
      </c>
      <c r="BB14" s="4">
        <f t="shared" si="2"/>
        <v>18.527497060777449</v>
      </c>
      <c r="BC14" s="4">
        <f t="shared" si="2"/>
        <v>8.3150539463173061</v>
      </c>
      <c r="BD14" s="4">
        <f t="shared" si="2"/>
        <v>4.1015681923363161</v>
      </c>
      <c r="BE14" s="4">
        <f t="shared" si="2"/>
        <v>2.179741501703405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'Input&amp;Output'!$D$30*C15</f>
        <v>107.32341603124996</v>
      </c>
      <c r="G15" s="4">
        <f>'Input&amp;Output'!$D$30*D15</f>
        <v>160.98512404687494</v>
      </c>
      <c r="I15" s="4">
        <f t="shared" si="3"/>
        <v>268.30854007812491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v>68.926804653643131</v>
      </c>
      <c r="U15" s="4">
        <v>68.926804653643131</v>
      </c>
      <c r="W15" s="4">
        <f t="shared" si="4"/>
        <v>268.30854007812491</v>
      </c>
      <c r="AG15" s="4">
        <f>IF(A15&lt;='Input&amp;Output'!$D$38,$K$8/'Input&amp;Output'!$D$38,0)</f>
        <v>21.9</v>
      </c>
      <c r="AH15" s="4">
        <v>68.926804653643131</v>
      </c>
      <c r="AK15" s="4">
        <f t="shared" si="5"/>
        <v>177.48173542448177</v>
      </c>
      <c r="AL15" s="4">
        <f>AK15*('Input&amp;Output'!$D$32/100)</f>
        <v>70.992694169792713</v>
      </c>
      <c r="AM15" s="8"/>
      <c r="AN15" s="5"/>
      <c r="AO15" s="4">
        <v>268.30854007812491</v>
      </c>
      <c r="AQ15" s="4">
        <v>68.926804653643131</v>
      </c>
      <c r="AR15" s="4">
        <v>70.992694169792713</v>
      </c>
      <c r="AS15" s="4">
        <f t="shared" si="0"/>
        <v>128.38904125468906</v>
      </c>
      <c r="AU15" s="4">
        <f>AS15/(1+'Input&amp;Output'!$D$33/100)^A15</f>
        <v>65.883878811700782</v>
      </c>
      <c r="AW15" s="4">
        <f t="shared" si="6"/>
        <v>923.89739084606526</v>
      </c>
      <c r="AX15" s="4">
        <f t="shared" si="1"/>
        <v>0</v>
      </c>
      <c r="AZ15" s="4">
        <f t="shared" si="2"/>
        <v>128.38904125468906</v>
      </c>
      <c r="BA15" s="4">
        <f t="shared" si="2"/>
        <v>35.831025120108109</v>
      </c>
      <c r="BB15" s="4">
        <f t="shared" si="2"/>
        <v>12.179562995523717</v>
      </c>
      <c r="BC15" s="4">
        <f t="shared" si="2"/>
        <v>4.7828644981491921</v>
      </c>
      <c r="BD15" s="4">
        <f t="shared" si="2"/>
        <v>2.0971061798691526</v>
      </c>
      <c r="BE15" s="4">
        <f t="shared" si="2"/>
        <v>1.0030393848022583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'Input&amp;Output'!$D$30*C16</f>
        <v>101.95724522968746</v>
      </c>
      <c r="G16" s="4">
        <f>'Input&amp;Output'!$D$30*D16</f>
        <v>152.93586784453117</v>
      </c>
      <c r="I16" s="4">
        <f t="shared" si="3"/>
        <v>254.89311307421863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v>73.63951174757122</v>
      </c>
      <c r="U16" s="4">
        <v>73.63951174757122</v>
      </c>
      <c r="W16" s="4">
        <f t="shared" si="4"/>
        <v>254.89311307421863</v>
      </c>
      <c r="AG16" s="4">
        <f>IF(A16&lt;='Input&amp;Output'!$D$38,$K$8/'Input&amp;Output'!$D$38,0)</f>
        <v>21.9</v>
      </c>
      <c r="AH16" s="4">
        <v>73.63951174757122</v>
      </c>
      <c r="AK16" s="4">
        <f t="shared" si="5"/>
        <v>159.35360132664741</v>
      </c>
      <c r="AL16" s="4">
        <f>AK16*('Input&amp;Output'!$D$32/100)</f>
        <v>63.741440530658963</v>
      </c>
      <c r="AM16" s="8"/>
      <c r="AN16" s="5"/>
      <c r="AO16" s="4">
        <v>254.89311307421863</v>
      </c>
      <c r="AQ16" s="4">
        <v>73.63951174757122</v>
      </c>
      <c r="AR16" s="4">
        <v>63.741440530658963</v>
      </c>
      <c r="AS16" s="4">
        <f t="shared" si="0"/>
        <v>117.51216079598845</v>
      </c>
      <c r="AU16" s="4">
        <f>AS16/(1+'Input&amp;Output'!$D$33/100)^A16</f>
        <v>54.820290275721483</v>
      </c>
      <c r="AW16" s="4">
        <f t="shared" si="6"/>
        <v>1041.4095516420537</v>
      </c>
      <c r="AX16" s="4">
        <f t="shared" si="1"/>
        <v>0</v>
      </c>
      <c r="AZ16" s="4">
        <f t="shared" si="2"/>
        <v>117.51216079598845</v>
      </c>
      <c r="BA16" s="4">
        <f t="shared" si="2"/>
        <v>27.329572837442008</v>
      </c>
      <c r="BB16" s="4">
        <f t="shared" si="2"/>
        <v>7.9626665015727367</v>
      </c>
      <c r="BC16" s="4">
        <f t="shared" si="2"/>
        <v>2.7360432035286992</v>
      </c>
      <c r="BD16" s="4">
        <f t="shared" si="2"/>
        <v>1.0663573611317101</v>
      </c>
      <c r="BE16" s="4">
        <f t="shared" si="2"/>
        <v>0.45903187810932988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'Input&amp;Output'!$D$30*C17</f>
        <v>96.859382968203093</v>
      </c>
      <c r="G17" s="4">
        <f>'Input&amp;Output'!$D$30*D17</f>
        <v>145.28907445230462</v>
      </c>
      <c r="I17" s="4">
        <f t="shared" si="3"/>
        <v>242.14845742050773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v>78.684798950472654</v>
      </c>
      <c r="U17" s="4">
        <v>78.684798950472654</v>
      </c>
      <c r="W17" s="4">
        <f t="shared" si="4"/>
        <v>242.14845742050773</v>
      </c>
      <c r="AG17" s="4">
        <f>IF(A17&lt;='Input&amp;Output'!$D$38,$K$8/'Input&amp;Output'!$D$38,0)</f>
        <v>21.9</v>
      </c>
      <c r="AH17" s="4">
        <v>78.684798950472654</v>
      </c>
      <c r="AK17" s="4">
        <f t="shared" si="5"/>
        <v>141.56365847003505</v>
      </c>
      <c r="AL17" s="4">
        <f>AK17*('Input&amp;Output'!$D$32/100)</f>
        <v>56.625463388014026</v>
      </c>
      <c r="AM17" s="8"/>
      <c r="AN17" s="5"/>
      <c r="AO17" s="4">
        <v>242.14845742050773</v>
      </c>
      <c r="AQ17" s="4">
        <v>78.684798950472654</v>
      </c>
      <c r="AR17" s="4">
        <v>56.625463388014026</v>
      </c>
      <c r="AS17" s="4">
        <f t="shared" si="0"/>
        <v>106.83819508202103</v>
      </c>
      <c r="AU17" s="4">
        <f>AS17/(1+'Input&amp;Output'!$D$33/100)^A17</f>
        <v>45.309824085500026</v>
      </c>
      <c r="AW17" s="4">
        <f t="shared" si="6"/>
        <v>1148.2477467240747</v>
      </c>
      <c r="AX17" s="4">
        <f t="shared" si="1"/>
        <v>0</v>
      </c>
      <c r="AZ17" s="4">
        <f t="shared" si="2"/>
        <v>106.83819508202103</v>
      </c>
      <c r="BA17" s="4">
        <f t="shared" si="2"/>
        <v>20.705957965945029</v>
      </c>
      <c r="BB17" s="4">
        <f t="shared" si="2"/>
        <v>5.1709962326186227</v>
      </c>
      <c r="BC17" s="4">
        <f t="shared" si="2"/>
        <v>1.5547003579852889</v>
      </c>
      <c r="BD17" s="4">
        <f t="shared" si="2"/>
        <v>0.53860948425361221</v>
      </c>
      <c r="BE17" s="4">
        <f t="shared" si="2"/>
        <v>0.20866834976957233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'Input&amp;Output'!$D$30*C18</f>
        <v>92.01641381979293</v>
      </c>
      <c r="G18" s="4">
        <f>'Input&amp;Output'!$D$30*D18</f>
        <v>138.02462072968939</v>
      </c>
      <c r="I18" s="4">
        <f t="shared" si="3"/>
        <v>230.04103454948233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v>84.086720169074482</v>
      </c>
      <c r="U18" s="4">
        <v>84.086720169074482</v>
      </c>
      <c r="W18" s="4">
        <f t="shared" si="4"/>
        <v>230.04103454948233</v>
      </c>
      <c r="AG18" s="4">
        <f>IF(A18&lt;='Input&amp;Output'!$D$38,$K$8/'Input&amp;Output'!$D$38,0)</f>
        <v>21.9</v>
      </c>
      <c r="AH18" s="4">
        <v>84.086720169074482</v>
      </c>
      <c r="AK18" s="4">
        <f t="shared" si="5"/>
        <v>124.05431438040785</v>
      </c>
      <c r="AL18" s="4">
        <f>AK18*('Input&amp;Output'!$D$32/100)</f>
        <v>49.621725752163144</v>
      </c>
      <c r="AM18" s="8"/>
      <c r="AN18" s="5"/>
      <c r="AO18" s="4">
        <v>230.04103454948233</v>
      </c>
      <c r="AQ18" s="4">
        <v>84.086720169074482</v>
      </c>
      <c r="AR18" s="4">
        <v>49.621725752163144</v>
      </c>
      <c r="AS18" s="4">
        <f t="shared" si="0"/>
        <v>96.332588628244707</v>
      </c>
      <c r="AU18" s="4">
        <f>AS18/(1+'Input&amp;Output'!$D$33/100)^A18</f>
        <v>37.140383098995343</v>
      </c>
      <c r="AW18" s="4">
        <f t="shared" si="6"/>
        <v>1244.5803353523193</v>
      </c>
      <c r="AX18" s="4">
        <f t="shared" si="1"/>
        <v>0</v>
      </c>
      <c r="AZ18" s="4">
        <f t="shared" si="2"/>
        <v>96.332588628244707</v>
      </c>
      <c r="BA18" s="4">
        <f t="shared" si="2"/>
        <v>15.558250877692387</v>
      </c>
      <c r="BB18" s="4">
        <f t="shared" si="2"/>
        <v>3.3303729765814025</v>
      </c>
      <c r="BC18" s="4">
        <f t="shared" si="2"/>
        <v>0.87613978965459505</v>
      </c>
      <c r="BD18" s="4">
        <f t="shared" si="2"/>
        <v>0.26980387303353137</v>
      </c>
      <c r="BE18" s="4">
        <f t="shared" si="2"/>
        <v>9.4074793582270222E-2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'Input&amp;Output'!$D$30*C19</f>
        <v>87.41559312880328</v>
      </c>
      <c r="G19" s="4">
        <f>'Input&amp;Output'!$D$30*D19</f>
        <v>131.12338969320493</v>
      </c>
      <c r="I19" s="4">
        <f t="shared" si="3"/>
        <v>218.53898282200822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v>89.871113839195871</v>
      </c>
      <c r="U19" s="4">
        <v>89.871113839195871</v>
      </c>
      <c r="W19" s="4">
        <f t="shared" si="4"/>
        <v>218.53898282200822</v>
      </c>
      <c r="AG19" s="4">
        <f>IF(A19&lt;='Input&amp;Output'!$D$38,$K$8/'Input&amp;Output'!$D$38,0)</f>
        <v>0</v>
      </c>
      <c r="AH19" s="4">
        <v>89.871113839195871</v>
      </c>
      <c r="AK19" s="4">
        <f t="shared" si="5"/>
        <v>128.66786898281237</v>
      </c>
      <c r="AL19" s="4">
        <f>AK19*('Input&amp;Output'!$D$32/100)</f>
        <v>51.467147593124949</v>
      </c>
      <c r="AM19" s="8"/>
      <c r="AN19" s="5"/>
      <c r="AO19" s="4">
        <v>218.53898282200822</v>
      </c>
      <c r="AQ19" s="4">
        <v>89.871113839195871</v>
      </c>
      <c r="AR19" s="4">
        <v>51.467147593124949</v>
      </c>
      <c r="AS19" s="4">
        <f t="shared" si="0"/>
        <v>77.200721389687416</v>
      </c>
      <c r="AU19" s="4">
        <f>AS19/(1+'Input&amp;Output'!$D$33/100)^A19</f>
        <v>27.058381882648067</v>
      </c>
      <c r="AW19" s="4">
        <f t="shared" si="6"/>
        <v>1321.7810567420067</v>
      </c>
      <c r="AX19" s="4">
        <f t="shared" si="1"/>
        <v>0</v>
      </c>
      <c r="AZ19" s="4">
        <f t="shared" si="2"/>
        <v>77.200721389687416</v>
      </c>
      <c r="BA19" s="4">
        <f t="shared" si="2"/>
        <v>10.390289589631708</v>
      </c>
      <c r="BB19" s="4">
        <f t="shared" si="2"/>
        <v>1.9063953327140297</v>
      </c>
      <c r="BC19" s="4">
        <f t="shared" si="2"/>
        <v>0.43883529423105377</v>
      </c>
      <c r="BD19" s="4">
        <f t="shared" si="2"/>
        <v>0.1201223451685082</v>
      </c>
      <c r="BE19" s="4">
        <f t="shared" si="2"/>
        <v>3.7695664741058309E-2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'Input&amp;Output'!$D$30*C20</f>
        <v>83.044813472363117</v>
      </c>
      <c r="G20" s="4">
        <f>'Input&amp;Output'!$D$30*D20</f>
        <v>124.56722020854468</v>
      </c>
      <c r="I20" s="4">
        <f t="shared" si="3"/>
        <v>207.61203368090781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v>96.065739134419545</v>
      </c>
      <c r="U20" s="4">
        <v>96.065739134419545</v>
      </c>
      <c r="W20" s="4">
        <f t="shared" si="4"/>
        <v>207.61203368090781</v>
      </c>
      <c r="AG20" s="4">
        <f>IF(A20&lt;='Input&amp;Output'!$D$38,$K$8/'Input&amp;Output'!$D$38,0)</f>
        <v>0</v>
      </c>
      <c r="AH20" s="4">
        <v>96.065739134419545</v>
      </c>
      <c r="AK20" s="4">
        <f t="shared" si="5"/>
        <v>111.54629454648827</v>
      </c>
      <c r="AL20" s="4">
        <f>AK20*('Input&amp;Output'!$D$32/100)</f>
        <v>44.618517818595308</v>
      </c>
      <c r="AM20" s="8"/>
      <c r="AN20" s="5"/>
      <c r="AO20" s="4">
        <v>207.61203368090781</v>
      </c>
      <c r="AQ20" s="4">
        <v>96.065739134419545</v>
      </c>
      <c r="AR20" s="4">
        <v>44.618517818595308</v>
      </c>
      <c r="AS20" s="4">
        <f t="shared" si="0"/>
        <v>66.927776727892962</v>
      </c>
      <c r="AU20" s="4">
        <f>AS20/(1+'Input&amp;Output'!$D$33/100)^A20</f>
        <v>21.325252226344706</v>
      </c>
      <c r="AW20" s="4">
        <f t="shared" si="6"/>
        <v>1388.7088334698997</v>
      </c>
      <c r="AX20" s="4">
        <f t="shared" si="1"/>
        <v>0</v>
      </c>
      <c r="AZ20" s="4">
        <f t="shared" si="2"/>
        <v>66.927776727892962</v>
      </c>
      <c r="BA20" s="4">
        <f t="shared" si="2"/>
        <v>7.5063955499720878</v>
      </c>
      <c r="BB20" s="4">
        <f t="shared" si="2"/>
        <v>1.1805108154267436</v>
      </c>
      <c r="BC20" s="4">
        <f t="shared" si="2"/>
        <v>0.23777522787289082</v>
      </c>
      <c r="BD20" s="4">
        <f t="shared" si="2"/>
        <v>5.7854392439961627E-2</v>
      </c>
      <c r="BE20" s="4">
        <f t="shared" si="2"/>
        <v>1.6339789240208243E-2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'Input&amp;Output'!$D$30*C21</f>
        <v>78.892572798744965</v>
      </c>
      <c r="G21" s="4">
        <f>'Input&amp;Output'!$D$30*D21</f>
        <v>118.33885919811743</v>
      </c>
      <c r="I21" s="4">
        <f t="shared" si="3"/>
        <v>197.2314319968624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v>102.70042290464741</v>
      </c>
      <c r="U21" s="4">
        <v>102.70042290464741</v>
      </c>
      <c r="W21" s="4">
        <f t="shared" si="4"/>
        <v>197.2314319968624</v>
      </c>
      <c r="AG21" s="4">
        <f>IF(A21&lt;='Input&amp;Output'!$D$38,$K$8/'Input&amp;Output'!$D$38,0)</f>
        <v>0</v>
      </c>
      <c r="AH21" s="4">
        <v>102.70042290464741</v>
      </c>
      <c r="AK21" s="4">
        <f t="shared" si="5"/>
        <v>94.531009092214987</v>
      </c>
      <c r="AL21" s="4">
        <f>AK21*('Input&amp;Output'!$D$32/100)</f>
        <v>37.812403636885996</v>
      </c>
      <c r="AM21" s="8"/>
      <c r="AN21" s="5"/>
      <c r="AO21" s="4">
        <v>197.2314319968624</v>
      </c>
      <c r="AQ21" s="4">
        <v>102.70042290464741</v>
      </c>
      <c r="AR21" s="4">
        <v>37.812403636885996</v>
      </c>
      <c r="AS21" s="4">
        <f t="shared" si="0"/>
        <v>56.718605455328991</v>
      </c>
      <c r="AU21" s="4">
        <f>AS21/(1+'Input&amp;Output'!$D$33/100)^A21</f>
        <v>16.429359668747786</v>
      </c>
      <c r="AW21" s="4">
        <f t="shared" si="6"/>
        <v>1445.4274389252287</v>
      </c>
      <c r="AX21" s="4">
        <f t="shared" si="1"/>
        <v>0</v>
      </c>
      <c r="AZ21" s="4">
        <f t="shared" si="2"/>
        <v>56.718605455328991</v>
      </c>
      <c r="BA21" s="4">
        <f t="shared" si="2"/>
        <v>5.301140876598434</v>
      </c>
      <c r="BB21" s="4">
        <f t="shared" si="2"/>
        <v>0.71459682201439889</v>
      </c>
      <c r="BC21" s="4">
        <f t="shared" si="2"/>
        <v>0.12594060340227234</v>
      </c>
      <c r="BD21" s="4">
        <f t="shared" si="2"/>
        <v>2.7238486844318455E-2</v>
      </c>
      <c r="BE21" s="4">
        <f t="shared" si="2"/>
        <v>6.9236578924962147E-3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'Input&amp;Output'!$D$30*C22</f>
        <v>74.947944158807701</v>
      </c>
      <c r="G22" s="4">
        <f>'Input&amp;Output'!$D$30*D22</f>
        <v>112.42191623821157</v>
      </c>
      <c r="I22" s="4">
        <f t="shared" si="3"/>
        <v>187.36986039701927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v>109.80721821883162</v>
      </c>
      <c r="U22" s="4">
        <v>109.80721821883162</v>
      </c>
      <c r="W22" s="4">
        <f t="shared" si="4"/>
        <v>187.36986039701927</v>
      </c>
      <c r="AG22" s="4">
        <f>IF(A22&lt;='Input&amp;Output'!$D$38,$K$8/'Input&amp;Output'!$D$38,0)</f>
        <v>0</v>
      </c>
      <c r="AH22" s="4">
        <v>109.80721821883162</v>
      </c>
      <c r="AK22" s="4">
        <f t="shared" si="5"/>
        <v>77.562642178187645</v>
      </c>
      <c r="AL22" s="4">
        <f>AK22*('Input&amp;Output'!$D$32/100)</f>
        <v>31.025056871275059</v>
      </c>
      <c r="AM22" s="8"/>
      <c r="AN22" s="5"/>
      <c r="AO22" s="4">
        <v>187.36986039701927</v>
      </c>
      <c r="AQ22" s="4">
        <v>109.80721821883162</v>
      </c>
      <c r="AR22" s="4">
        <v>31.025056871275059</v>
      </c>
      <c r="AS22" s="4">
        <f t="shared" si="0"/>
        <v>46.53758530691259</v>
      </c>
      <c r="AU22" s="4">
        <f>AS22/(1+'Input&amp;Output'!$D$33/100)^A22</f>
        <v>12.25480071124548</v>
      </c>
      <c r="AW22" s="4">
        <f t="shared" si="6"/>
        <v>1491.9650242321413</v>
      </c>
      <c r="AX22" s="4">
        <f t="shared" si="1"/>
        <v>0</v>
      </c>
      <c r="AZ22" s="4">
        <f t="shared" si="2"/>
        <v>46.53758530691259</v>
      </c>
      <c r="BA22" s="4">
        <f t="shared" si="2"/>
        <v>3.6246527012340084</v>
      </c>
      <c r="BB22" s="4">
        <f t="shared" si="2"/>
        <v>0.41880450613002251</v>
      </c>
      <c r="BC22" s="4">
        <f t="shared" si="2"/>
        <v>6.4583873397739577E-2</v>
      </c>
      <c r="BD22" s="4">
        <f t="shared" si="2"/>
        <v>1.2416202124040097E-2</v>
      </c>
      <c r="BE22" s="4">
        <f t="shared" si="2"/>
        <v>2.8404287907051141E-3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'Input&amp;Output'!$D$30*C23</f>
        <v>71.20054695086732</v>
      </c>
      <c r="G23" s="4">
        <f>'Input&amp;Output'!$D$30*D23</f>
        <v>106.80082042630097</v>
      </c>
      <c r="I23" s="4">
        <f t="shared" si="3"/>
        <v>178.00136737716829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v>117.42057545990087</v>
      </c>
      <c r="U23" s="4">
        <v>117.42057545990087</v>
      </c>
      <c r="W23" s="4">
        <f t="shared" si="4"/>
        <v>178.00136737716829</v>
      </c>
      <c r="AG23" s="4">
        <f>IF(A23&lt;='Input&amp;Output'!$D$38,$K$8/'Input&amp;Output'!$D$38,0)</f>
        <v>0</v>
      </c>
      <c r="AH23" s="4">
        <v>117.42057545990087</v>
      </c>
      <c r="AK23" s="4">
        <f t="shared" si="5"/>
        <v>60.580791917267419</v>
      </c>
      <c r="AL23" s="4">
        <f>AK23*('Input&amp;Output'!$D$32/100)</f>
        <v>24.232316766906969</v>
      </c>
      <c r="AM23" s="8"/>
      <c r="AN23" s="5"/>
      <c r="AO23" s="4">
        <v>178.00136737716829</v>
      </c>
      <c r="AQ23" s="4">
        <v>117.42057545990087</v>
      </c>
      <c r="AR23" s="4">
        <v>24.232316766906969</v>
      </c>
      <c r="AS23" s="4">
        <f t="shared" si="0"/>
        <v>36.34847515036045</v>
      </c>
      <c r="AU23" s="4">
        <f>AS23/(1+'Input&amp;Output'!$D$33/100)^A23</f>
        <v>8.7015359576888986</v>
      </c>
      <c r="AW23" s="4">
        <f t="shared" si="6"/>
        <v>1528.3134993825017</v>
      </c>
      <c r="AX23" s="4">
        <f t="shared" si="1"/>
        <v>0</v>
      </c>
      <c r="AZ23" s="4">
        <f t="shared" si="2"/>
        <v>36.34847515036045</v>
      </c>
      <c r="BA23" s="4">
        <f t="shared" si="2"/>
        <v>2.359214918626237</v>
      </c>
      <c r="BB23" s="4">
        <f t="shared" si="2"/>
        <v>0.23364993329787645</v>
      </c>
      <c r="BC23" s="4">
        <f t="shared" si="2"/>
        <v>3.1527276579644888E-2</v>
      </c>
      <c r="BD23" s="4">
        <f t="shared" si="2"/>
        <v>5.3876406372655753E-3</v>
      </c>
      <c r="BE23" s="4">
        <f t="shared" si="2"/>
        <v>1.1092674301257462E-3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'Input&amp;Output'!$D$30*C24</f>
        <v>67.640519603323952</v>
      </c>
      <c r="G24" s="4">
        <f>'Input&amp;Output'!$D$30*D24</f>
        <v>101.46077940498593</v>
      </c>
      <c r="I24" s="4">
        <f t="shared" si="3"/>
        <v>169.10129900830987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v>125.57752700005267</v>
      </c>
      <c r="U24" s="4">
        <v>125.57752700005267</v>
      </c>
      <c r="W24" s="4">
        <f t="shared" si="4"/>
        <v>169.10129900830987</v>
      </c>
      <c r="AG24" s="4">
        <f>IF(A24&lt;='Input&amp;Output'!$D$38,$K$8/'Input&amp;Output'!$D$38,0)</f>
        <v>0</v>
      </c>
      <c r="AH24" s="4">
        <v>125.57752700005267</v>
      </c>
      <c r="AK24" s="4">
        <f t="shared" si="5"/>
        <v>43.523772008257197</v>
      </c>
      <c r="AL24" s="4">
        <f>AK24*('Input&amp;Output'!$D$32/100)</f>
        <v>17.409508803302881</v>
      </c>
      <c r="AM24" s="8"/>
      <c r="AN24" s="5"/>
      <c r="AO24" s="4">
        <v>169.10129900830987</v>
      </c>
      <c r="AQ24" s="4">
        <v>125.57752700005267</v>
      </c>
      <c r="AR24" s="4">
        <v>17.409508803302881</v>
      </c>
      <c r="AS24" s="4">
        <f t="shared" si="0"/>
        <v>26.114263204954316</v>
      </c>
      <c r="AU24" s="4">
        <f>AS24/(1+'Input&amp;Output'!$D$33/100)^A24</f>
        <v>5.6832245330906828</v>
      </c>
      <c r="AW24" s="4">
        <f t="shared" si="6"/>
        <v>1554.4277625874561</v>
      </c>
      <c r="AX24" s="4">
        <f t="shared" si="1"/>
        <v>0</v>
      </c>
      <c r="AZ24" s="4">
        <f t="shared" si="2"/>
        <v>26.114263204954316</v>
      </c>
      <c r="BA24" s="4">
        <f t="shared" si="2"/>
        <v>1.4124654722379621</v>
      </c>
      <c r="BB24" s="4">
        <f t="shared" si="2"/>
        <v>0.11990276720630109</v>
      </c>
      <c r="BC24" s="4">
        <f t="shared" si="2"/>
        <v>1.4156570449834847E-2</v>
      </c>
      <c r="BD24" s="4">
        <f t="shared" si="2"/>
        <v>2.1503922955847664E-3</v>
      </c>
      <c r="BE24" s="4">
        <f t="shared" si="2"/>
        <v>3.9847203376700311E-4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'Input&amp;Output'!$D$30*C25</f>
        <v>64.258493623157747</v>
      </c>
      <c r="G25" s="4">
        <f>'Input&amp;Output'!$D$30*D25</f>
        <v>96.387740434736614</v>
      </c>
      <c r="I25" s="4">
        <f t="shared" si="3"/>
        <v>160.64623405789436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v>134.31788657173794</v>
      </c>
      <c r="U25" s="4">
        <v>134.31788657173794</v>
      </c>
      <c r="W25" s="4">
        <f t="shared" si="4"/>
        <v>160.64623405789436</v>
      </c>
      <c r="AG25" s="4">
        <f>IF(A25&lt;='Input&amp;Output'!$D$38,$K$8/'Input&amp;Output'!$D$38,0)</f>
        <v>0</v>
      </c>
      <c r="AH25" s="4">
        <v>134.31788657173794</v>
      </c>
      <c r="AK25" s="4">
        <f t="shared" si="5"/>
        <v>26.328347486156417</v>
      </c>
      <c r="AL25" s="4">
        <f>AK25*('Input&amp;Output'!$D$32/100)</f>
        <v>10.531338994462567</v>
      </c>
      <c r="AM25" s="8"/>
      <c r="AN25" s="5"/>
      <c r="AO25" s="4">
        <v>160.64623405789436</v>
      </c>
      <c r="AQ25" s="4">
        <v>134.31788657173794</v>
      </c>
      <c r="AR25" s="4">
        <v>10.531338994462567</v>
      </c>
      <c r="AS25" s="4">
        <f t="shared" si="0"/>
        <v>15.79700849169385</v>
      </c>
      <c r="AU25" s="4">
        <f>AS25/(1+'Input&amp;Output'!$D$33/100)^A25</f>
        <v>3.1253539146517912</v>
      </c>
      <c r="AW25" s="4">
        <f t="shared" si="6"/>
        <v>1570.2247710791498</v>
      </c>
      <c r="AX25" s="4">
        <f t="shared" si="1"/>
        <v>0</v>
      </c>
      <c r="AZ25" s="4">
        <f t="shared" si="2"/>
        <v>15.79700849169385</v>
      </c>
      <c r="BA25" s="4">
        <f t="shared" si="2"/>
        <v>0.71202241995906512</v>
      </c>
      <c r="BB25" s="4">
        <f t="shared" si="2"/>
        <v>5.1808169156719847E-2</v>
      </c>
      <c r="BC25" s="4">
        <f t="shared" si="2"/>
        <v>5.3522346642082509E-3</v>
      </c>
      <c r="BD25" s="4">
        <f t="shared" si="2"/>
        <v>7.2267372489590606E-4</v>
      </c>
      <c r="BE25" s="4">
        <f t="shared" si="2"/>
        <v>1.2052161019663887E-4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'Input&amp;Output'!$D$30*C26</f>
        <v>61.045568941999861</v>
      </c>
      <c r="G26" s="4">
        <f>'Input&amp;Output'!$D$30*D26</f>
        <v>91.568353412999798</v>
      </c>
      <c r="I26" s="4">
        <f t="shared" si="3"/>
        <v>152.61392235499966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v>143.68446454444995</v>
      </c>
      <c r="U26" s="4">
        <v>143.68446454444995</v>
      </c>
      <c r="W26" s="4">
        <f t="shared" si="4"/>
        <v>152.61392235499966</v>
      </c>
      <c r="AG26" s="4">
        <f>IF(A26&lt;='Input&amp;Output'!$D$38,$K$8/'Input&amp;Output'!$D$38,0)</f>
        <v>0</v>
      </c>
      <c r="AH26" s="4">
        <v>143.68446454444995</v>
      </c>
      <c r="AK26" s="4">
        <f t="shared" si="5"/>
        <v>8.9294578105497067</v>
      </c>
      <c r="AL26" s="4">
        <f>AK26*('Input&amp;Output'!$D$32/100)</f>
        <v>3.5717831242198828</v>
      </c>
      <c r="AM26" s="8"/>
      <c r="AN26" s="5"/>
      <c r="AO26" s="4">
        <v>152.61392235499966</v>
      </c>
      <c r="AQ26" s="4">
        <v>143.68446454444995</v>
      </c>
      <c r="AR26" s="4">
        <v>3.5717831242198828</v>
      </c>
      <c r="AS26" s="4">
        <f t="shared" si="0"/>
        <v>5.3576746863298244</v>
      </c>
      <c r="AU26" s="4">
        <f>AS26/(1+'Input&amp;Output'!$D$33/100)^A26</f>
        <v>0.96362488581050798</v>
      </c>
      <c r="AW26" s="4">
        <f t="shared" si="6"/>
        <v>1575.5824457654796</v>
      </c>
      <c r="AX26" s="4">
        <f t="shared" si="1"/>
        <v>0</v>
      </c>
      <c r="AZ26" s="4">
        <f t="shared" si="2"/>
        <v>5.3576746863298244</v>
      </c>
      <c r="BA26" s="4">
        <f t="shared" si="2"/>
        <v>0.20123981583389772</v>
      </c>
      <c r="BB26" s="4">
        <f t="shared" si="2"/>
        <v>1.2550808346403052E-2</v>
      </c>
      <c r="BC26" s="4">
        <f t="shared" si="2"/>
        <v>1.1345317449979256E-3</v>
      </c>
      <c r="BD26" s="4">
        <f t="shared" si="2"/>
        <v>1.3616680526661878E-4</v>
      </c>
      <c r="BE26" s="4">
        <f t="shared" si="2"/>
        <v>2.0437906976050661E-5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'Input&amp;Output'!$D$30*C27</f>
        <v>57.993290494899867</v>
      </c>
      <c r="G27" s="4">
        <f>'Input&amp;Output'!$D$30*D27</f>
        <v>86.989935742349786</v>
      </c>
      <c r="I27" s="4">
        <f t="shared" si="3"/>
        <v>144.98322623724965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v>153.72330042053716</v>
      </c>
      <c r="U27" s="4">
        <v>153.72330042053716</v>
      </c>
      <c r="W27" s="4">
        <f t="shared" si="4"/>
        <v>144.98322623724965</v>
      </c>
      <c r="AG27" s="4">
        <f>IF(A27&lt;='Input&amp;Output'!$D$38,$K$8/'Input&amp;Output'!$D$38,0)</f>
        <v>0</v>
      </c>
      <c r="AH27" s="4">
        <v>153.72330042053716</v>
      </c>
      <c r="AK27" s="4">
        <f t="shared" si="5"/>
        <v>0</v>
      </c>
      <c r="AL27" s="4">
        <f>AK27*('Input&amp;Output'!$D$32/100)</f>
        <v>0</v>
      </c>
      <c r="AM27" s="8"/>
      <c r="AN27" s="5"/>
      <c r="AO27" s="4">
        <v>144.98322623724965</v>
      </c>
      <c r="AQ27" s="4">
        <v>153.72330042053716</v>
      </c>
      <c r="AR27" s="4">
        <v>0</v>
      </c>
      <c r="AS27" s="4">
        <f t="shared" si="0"/>
        <v>-8.7400741832875042</v>
      </c>
      <c r="AU27" s="4">
        <f>AS27/(1+'Input&amp;Output'!$D$33/100)^A27</f>
        <v>-1.4290719693844081</v>
      </c>
      <c r="AW27" s="4">
        <f t="shared" si="6"/>
        <v>1566.8423715821921</v>
      </c>
      <c r="AX27" s="4">
        <f t="shared" si="1"/>
        <v>0</v>
      </c>
      <c r="AZ27" s="4">
        <f t="shared" si="2"/>
        <v>-8.7400741832875042</v>
      </c>
      <c r="BA27" s="4">
        <f t="shared" si="2"/>
        <v>-0.27357187305951841</v>
      </c>
      <c r="BB27" s="4">
        <f t="shared" si="2"/>
        <v>-1.4624547618934497E-2</v>
      </c>
      <c r="BC27" s="4">
        <f t="shared" si="2"/>
        <v>-1.1567391866705034E-3</v>
      </c>
      <c r="BD27" s="4">
        <f t="shared" si="2"/>
        <v>-1.2340635412515883E-4</v>
      </c>
      <c r="BE27" s="4">
        <f t="shared" si="2"/>
        <v>-1.6670368544173249E-5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'Input&amp;Output'!$D$30*C28</f>
        <v>55.093625970154875</v>
      </c>
      <c r="G28" s="4">
        <f>'Input&amp;Output'!$D$30*D28</f>
        <v>82.640438955232312</v>
      </c>
      <c r="H28" s="11"/>
      <c r="I28" s="4">
        <f t="shared" si="3"/>
        <v>137.7340649253872</v>
      </c>
      <c r="M28" s="11">
        <v>1.4859473959783542</v>
      </c>
      <c r="N28" s="11">
        <v>7.9598931154332622</v>
      </c>
      <c r="O28" s="11">
        <v>16.035677361064241</v>
      </c>
      <c r="P28" s="11">
        <v>0.43926841438126812</v>
      </c>
      <c r="Q28" s="11">
        <v>14.733224889023084</v>
      </c>
      <c r="R28" s="11">
        <v>7.739368924972359</v>
      </c>
      <c r="S28" s="11">
        <v>116.09053387458539</v>
      </c>
      <c r="T28" s="11">
        <v>164.48391397543796</v>
      </c>
      <c r="U28" s="11">
        <v>164.48391397543796</v>
      </c>
      <c r="W28" s="4">
        <f t="shared" si="4"/>
        <v>137.7340649253872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5"/>
        <v>0</v>
      </c>
      <c r="AL28" s="4">
        <f>AK28*('Input&amp;Output'!$D$32/100)</f>
        <v>0</v>
      </c>
      <c r="AM28" s="18"/>
      <c r="AN28" s="5"/>
      <c r="AO28" s="11">
        <v>137.7340649253872</v>
      </c>
      <c r="AP28" s="11"/>
      <c r="AQ28" s="11">
        <v>164.48391397543796</v>
      </c>
      <c r="AR28" s="11">
        <v>0</v>
      </c>
      <c r="AS28" s="4">
        <f t="shared" si="0"/>
        <v>-26.749849050050756</v>
      </c>
      <c r="AU28" s="4">
        <f>AS28/(1+'Input&amp;Output'!$D$33/100)^A28</f>
        <v>-3.9761946118977325</v>
      </c>
      <c r="AV28" s="14"/>
      <c r="AW28" s="4">
        <f t="shared" si="6"/>
        <v>1540.0925225321414</v>
      </c>
      <c r="AX28" s="4">
        <f t="shared" si="1"/>
        <v>0</v>
      </c>
      <c r="AZ28" s="4">
        <f t="shared" si="2"/>
        <v>-26.749849050050756</v>
      </c>
      <c r="BA28" s="4">
        <f t="shared" si="2"/>
        <v>-0.69774448851122894</v>
      </c>
      <c r="BB28" s="4">
        <f t="shared" si="2"/>
        <v>-3.1971324027352567E-2</v>
      </c>
      <c r="BC28" s="4">
        <f t="shared" si="2"/>
        <v>-2.2126956522921962E-3</v>
      </c>
      <c r="BD28" s="4">
        <f t="shared" si="2"/>
        <v>-2.0983176492797136E-4</v>
      </c>
      <c r="BE28" s="4">
        <f t="shared" si="2"/>
        <v>-2.551064400677753E-5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2809.8316598505835</v>
      </c>
      <c r="I30" s="12">
        <f>SUM(I9:I29)</f>
        <v>4683.0527664176398</v>
      </c>
      <c r="M30" s="12">
        <f t="shared" ref="M30:W30" si="7">SUM(M9:M29)</f>
        <v>24.783317194896075</v>
      </c>
      <c r="N30" s="12">
        <f t="shared" si="7"/>
        <v>104.15775542409848</v>
      </c>
      <c r="O30" s="12">
        <f t="shared" si="7"/>
        <v>194.9636333788014</v>
      </c>
      <c r="P30" s="12">
        <f t="shared" si="7"/>
        <v>8.0061098525080752</v>
      </c>
      <c r="Q30" s="12">
        <f t="shared" si="7"/>
        <v>137.97547377925386</v>
      </c>
      <c r="R30" s="12">
        <f t="shared" si="7"/>
        <v>87.730353567434619</v>
      </c>
      <c r="S30" s="12">
        <f t="shared" si="7"/>
        <v>1315.9553035115193</v>
      </c>
      <c r="U30" s="12">
        <f t="shared" si="7"/>
        <v>1873.5719467085121</v>
      </c>
      <c r="W30" s="12">
        <f t="shared" si="7"/>
        <v>4683.0527664176398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2625.9707429424661</v>
      </c>
      <c r="AL30" s="12">
        <f>SUM(AL9:AL29)</f>
        <v>1050.3882971769867</v>
      </c>
      <c r="AM30" s="19" t="s">
        <v>82</v>
      </c>
      <c r="AO30" s="12">
        <f>SUM(AO8:AO29)</f>
        <v>4683.0527664176398</v>
      </c>
      <c r="AP30" s="12">
        <f>SUM(AP8:AP29)</f>
        <v>219</v>
      </c>
      <c r="AQ30" s="12">
        <f>SUM(AQ8:AQ29)</f>
        <v>1873.5719467085121</v>
      </c>
      <c r="AR30" s="12">
        <f>SUM(AR8:AR29)</f>
        <v>1050.3882971769867</v>
      </c>
      <c r="AS30" s="12">
        <f>SUM(AS8:AS29)</f>
        <v>1540.0925225321414</v>
      </c>
      <c r="AU30" s="15">
        <f>SUM(AU8:AU29)</f>
        <v>825.24822815922471</v>
      </c>
      <c r="AX30" s="16">
        <f>SUM(AX8:AX29)</f>
        <v>1.1022762750671766</v>
      </c>
      <c r="AZ30" s="12">
        <f t="shared" ref="AZ30:BE30" si="8">SUM(AZ8:AZ29)</f>
        <v>1540.0925225321414</v>
      </c>
      <c r="BA30" s="12">
        <f t="shared" si="8"/>
        <v>494.22707087600321</v>
      </c>
      <c r="BB30" s="12">
        <f t="shared" si="8"/>
        <v>204.97031595929172</v>
      </c>
      <c r="BC30" s="12">
        <f t="shared" si="8"/>
        <v>79.99219993043144</v>
      </c>
      <c r="BD30" s="12">
        <f t="shared" si="8"/>
        <v>11.481280850100811</v>
      </c>
      <c r="BE30" s="12">
        <f t="shared" si="8"/>
        <v>-31.590734366206512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825.24822815922471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0.84565702912404195</v>
      </c>
    </row>
    <row r="34" spans="45:48" ht="12" customHeight="1" thickBot="1" x14ac:dyDescent="0.25">
      <c r="AS34" s="75" t="s">
        <v>136</v>
      </c>
      <c r="AT34" s="76"/>
      <c r="AU34" s="77">
        <f>AX30</f>
        <v>1.1022762750671766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3.7682567495855008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836D-BC74-47D1-AECA-851CED441502}">
  <dimension ref="A1:BM35"/>
  <sheetViews>
    <sheetView topLeftCell="A3" workbookViewId="0">
      <selection activeCell="AW10" sqref="AW10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'Cash Flow'!M8:S8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'Input&amp;Output'!$D$30*C9</f>
        <v>146</v>
      </c>
      <c r="G9" s="4">
        <f>'Input&amp;Output'!$D$30*D9</f>
        <v>219</v>
      </c>
      <c r="I9" s="4">
        <f>SUM(F9:G9)</f>
        <v>365</v>
      </c>
      <c r="M9" s="4" cm="1">
        <f t="array" ref="M9:U28">'Cash Flow'!M9:U28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v>46.482600000000005</v>
      </c>
      <c r="U9" s="4">
        <v>46.482600000000005</v>
      </c>
      <c r="W9" s="4" cm="1">
        <f t="array" ref="W9:W28">I9:I28</f>
        <v>365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296.61740000000003</v>
      </c>
      <c r="AL9" s="4">
        <f>AK9*('Input&amp;Output'!$D$32/100)</f>
        <v>118.64696000000002</v>
      </c>
      <c r="AM9" s="8"/>
      <c r="AN9" s="5"/>
      <c r="AO9" s="4" cm="1">
        <f t="array" ref="AO9:AO28">W9:W28</f>
        <v>365</v>
      </c>
      <c r="AQ9" s="4" cm="1">
        <f t="array" ref="AQ9:AQ28">AH9:AH28</f>
        <v>46.482600000000005</v>
      </c>
      <c r="AR9" s="4" cm="1">
        <f t="array" ref="AR9:AR28">AL9:AL28</f>
        <v>118.64696000000002</v>
      </c>
      <c r="AS9" s="4">
        <f t="shared" ref="AS9:AS28" si="0">AO9-AP9-AQ9-AR9</f>
        <v>199.87043999999997</v>
      </c>
      <c r="AU9" s="4">
        <f>AS9/(1+'Input&amp;Output'!$D$33/100)^A9</f>
        <v>181.70039999999997</v>
      </c>
      <c r="AW9" s="4">
        <f>AW8+AS9</f>
        <v>-19.129560000000026</v>
      </c>
      <c r="AX9" s="4">
        <f t="shared" ref="AX9:AX28" si="1">IF(AND(AW9&gt;0,AW8&lt;0),A8+ABS(AW8/AS9),0)</f>
        <v>0</v>
      </c>
      <c r="AZ9" s="4">
        <f t="shared" ref="AZ9:BE28" si="2">$AS9/(1+AZ$5)^$A9</f>
        <v>199.87043999999997</v>
      </c>
      <c r="BA9" s="4">
        <f t="shared" si="2"/>
        <v>166.55869999999999</v>
      </c>
      <c r="BB9" s="4">
        <f t="shared" si="2"/>
        <v>142.7646</v>
      </c>
      <c r="BC9" s="4">
        <f t="shared" si="2"/>
        <v>124.91902499999998</v>
      </c>
      <c r="BD9" s="4">
        <f t="shared" si="2"/>
        <v>111.03913333333331</v>
      </c>
      <c r="BE9" s="4">
        <f t="shared" si="2"/>
        <v>99.935219999999987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'Input&amp;Output'!$D$30*C10</f>
        <v>138.69999999999999</v>
      </c>
      <c r="G10" s="4">
        <f>'Input&amp;Output'!$D$30*D10</f>
        <v>208.05</v>
      </c>
      <c r="I10" s="4">
        <f t="shared" ref="I10:I28" si="3">SUM(F10:G10)</f>
        <v>346.75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v>49.619836000000006</v>
      </c>
      <c r="U10" s="4">
        <v>49.619836000000006</v>
      </c>
      <c r="W10" s="4">
        <v>346.75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4">MAX(0,W10-AH10-AG10)</f>
        <v>275.230164</v>
      </c>
      <c r="AL10" s="4">
        <f>AK10*('Input&amp;Output'!$D$32/100)</f>
        <v>110.09206560000001</v>
      </c>
      <c r="AM10" s="8"/>
      <c r="AN10" s="5"/>
      <c r="AO10" s="4">
        <v>346.75</v>
      </c>
      <c r="AQ10" s="4">
        <v>49.619836000000006</v>
      </c>
      <c r="AR10" s="4">
        <v>110.09206560000001</v>
      </c>
      <c r="AS10" s="4">
        <f t="shared" si="0"/>
        <v>187.03809839999997</v>
      </c>
      <c r="AU10" s="4">
        <f>AS10/(1+'Input&amp;Output'!$D$33/100)^A10</f>
        <v>154.57694082644622</v>
      </c>
      <c r="AW10" s="4">
        <f t="shared" ref="AW10:AW28" si="5">AW9+AS10</f>
        <v>167.90853839999994</v>
      </c>
      <c r="AX10" s="4">
        <f t="shared" si="1"/>
        <v>1.1022762750671766</v>
      </c>
      <c r="AZ10" s="4">
        <f t="shared" si="2"/>
        <v>187.03809839999997</v>
      </c>
      <c r="BA10" s="4">
        <f t="shared" si="2"/>
        <v>129.88756833333332</v>
      </c>
      <c r="BB10" s="4">
        <f t="shared" si="2"/>
        <v>95.427601224489791</v>
      </c>
      <c r="BC10" s="4">
        <f t="shared" si="2"/>
        <v>73.061757187499978</v>
      </c>
      <c r="BD10" s="4">
        <f t="shared" si="2"/>
        <v>57.727808148148135</v>
      </c>
      <c r="BE10" s="4">
        <f t="shared" si="2"/>
        <v>46.759524599999992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'Input&amp;Output'!$D$30*C11</f>
        <v>131.76499999999999</v>
      </c>
      <c r="G11" s="4">
        <f>'Input&amp;Output'!$D$30*D11</f>
        <v>197.64749999999998</v>
      </c>
      <c r="I11" s="4">
        <f t="shared" si="3"/>
        <v>329.41249999999997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v>52.976337360000002</v>
      </c>
      <c r="U11" s="4">
        <v>52.976337360000002</v>
      </c>
      <c r="W11" s="4">
        <v>329.41249999999997</v>
      </c>
      <c r="AG11" s="4">
        <f>IF(A11&lt;='Input&amp;Output'!$D$38,$K$8/'Input&amp;Output'!$D$38,0)</f>
        <v>21.9</v>
      </c>
      <c r="AH11" s="4">
        <v>52.976337360000002</v>
      </c>
      <c r="AK11" s="4">
        <f t="shared" si="4"/>
        <v>254.53616263999996</v>
      </c>
      <c r="AL11" s="4">
        <f>AK11*('Input&amp;Output'!$D$32/100)</f>
        <v>101.81446505599999</v>
      </c>
      <c r="AM11" s="8"/>
      <c r="AN11" s="5"/>
      <c r="AO11" s="4">
        <v>329.41249999999997</v>
      </c>
      <c r="AQ11" s="4">
        <v>52.976337360000002</v>
      </c>
      <c r="AR11" s="4">
        <v>101.81446505599999</v>
      </c>
      <c r="AS11" s="4">
        <f t="shared" si="0"/>
        <v>174.62169758399997</v>
      </c>
      <c r="AU11" s="4">
        <f>AS11/(1+'Input&amp;Output'!$D$33/100)^A11</f>
        <v>131.19586595341843</v>
      </c>
      <c r="AW11" s="4">
        <f t="shared" si="5"/>
        <v>342.53023598399989</v>
      </c>
      <c r="AX11" s="4">
        <f t="shared" si="1"/>
        <v>0</v>
      </c>
      <c r="AZ11" s="4">
        <f t="shared" si="2"/>
        <v>174.62169758399997</v>
      </c>
      <c r="BA11" s="4">
        <f t="shared" si="2"/>
        <v>101.05422313888887</v>
      </c>
      <c r="BB11" s="4">
        <f t="shared" si="2"/>
        <v>63.637644892128286</v>
      </c>
      <c r="BC11" s="4">
        <f t="shared" si="2"/>
        <v>42.632250386718731</v>
      </c>
      <c r="BD11" s="4">
        <f t="shared" si="2"/>
        <v>29.941992041152254</v>
      </c>
      <c r="BE11" s="4">
        <f t="shared" si="2"/>
        <v>21.827712197999997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'Input&amp;Output'!$D$30*C12</f>
        <v>125.17674999999998</v>
      </c>
      <c r="G12" s="4">
        <f>'Input&amp;Output'!$D$30*D12</f>
        <v>187.76512499999995</v>
      </c>
      <c r="I12" s="4">
        <f t="shared" si="3"/>
        <v>312.94187499999992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v>56.567804473600006</v>
      </c>
      <c r="U12" s="4">
        <v>56.567804473600006</v>
      </c>
      <c r="W12" s="4">
        <v>312.94187499999992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4"/>
        <v>234.47407052639991</v>
      </c>
      <c r="AL12" s="4">
        <f>AK12*('Input&amp;Output'!$D$32/100)</f>
        <v>93.789628210559968</v>
      </c>
      <c r="AM12" s="8"/>
      <c r="AN12" s="5"/>
      <c r="AO12" s="4">
        <v>312.94187499999992</v>
      </c>
      <c r="AQ12" s="4">
        <v>56.567804473600006</v>
      </c>
      <c r="AR12" s="4">
        <v>93.789628210559968</v>
      </c>
      <c r="AS12" s="4">
        <f t="shared" si="0"/>
        <v>162.58444231583996</v>
      </c>
      <c r="AU12" s="4">
        <f>AS12/(1+'Input&amp;Output'!$D$33/100)^A12</f>
        <v>111.04736173474484</v>
      </c>
      <c r="AW12" s="4">
        <f t="shared" si="5"/>
        <v>505.11467829983985</v>
      </c>
      <c r="AX12" s="4">
        <f t="shared" si="1"/>
        <v>0</v>
      </c>
      <c r="AZ12" s="4">
        <f t="shared" si="2"/>
        <v>162.58444231583996</v>
      </c>
      <c r="BA12" s="4">
        <f t="shared" si="2"/>
        <v>78.406849110648139</v>
      </c>
      <c r="BB12" s="4">
        <f t="shared" si="2"/>
        <v>42.322064326280717</v>
      </c>
      <c r="BC12" s="4">
        <f t="shared" si="2"/>
        <v>24.808417101415998</v>
      </c>
      <c r="BD12" s="4">
        <f t="shared" si="2"/>
        <v>15.487772663831727</v>
      </c>
      <c r="BE12" s="4">
        <f t="shared" si="2"/>
        <v>10.161527644739998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'Input&amp;Output'!$D$30*C13</f>
        <v>118.91791249999999</v>
      </c>
      <c r="G13" s="4">
        <f>'Input&amp;Output'!$D$30*D13</f>
        <v>178.37686875</v>
      </c>
      <c r="I13" s="4">
        <f t="shared" si="3"/>
        <v>297.29478124999997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v>60.411089279136007</v>
      </c>
      <c r="U13" s="4">
        <v>60.411089279136007</v>
      </c>
      <c r="W13" s="4">
        <v>297.29478124999997</v>
      </c>
      <c r="AG13" s="4">
        <f>IF(A13&lt;='Input&amp;Output'!$D$38,$K$8/'Input&amp;Output'!$D$38,0)</f>
        <v>21.9</v>
      </c>
      <c r="AH13" s="4">
        <v>60.411089279136007</v>
      </c>
      <c r="AK13" s="4">
        <f t="shared" si="4"/>
        <v>214.98369197086396</v>
      </c>
      <c r="AL13" s="4">
        <f>AK13*('Input&amp;Output'!$D$32/100)</f>
        <v>85.993476788345589</v>
      </c>
      <c r="AM13" s="8"/>
      <c r="AN13" s="5"/>
      <c r="AO13" s="4">
        <v>297.29478124999997</v>
      </c>
      <c r="AQ13" s="4">
        <v>60.411089279136007</v>
      </c>
      <c r="AR13" s="4">
        <v>85.993476788345589</v>
      </c>
      <c r="AS13" s="4">
        <f t="shared" si="0"/>
        <v>150.89021518251838</v>
      </c>
      <c r="AU13" s="4">
        <f>AS13/(1+'Input&amp;Output'!$D$33/100)^A13</f>
        <v>93.690952047809901</v>
      </c>
      <c r="AW13" s="4">
        <f t="shared" si="5"/>
        <v>656.00489348235828</v>
      </c>
      <c r="AX13" s="4">
        <f t="shared" si="1"/>
        <v>0</v>
      </c>
      <c r="AZ13" s="4">
        <f t="shared" si="2"/>
        <v>150.89021518251838</v>
      </c>
      <c r="BA13" s="4">
        <f t="shared" si="2"/>
        <v>60.639393318591814</v>
      </c>
      <c r="BB13" s="4">
        <f t="shared" si="2"/>
        <v>28.055686466672821</v>
      </c>
      <c r="BC13" s="4">
        <f t="shared" si="2"/>
        <v>14.390012281658009</v>
      </c>
      <c r="BD13" s="4">
        <f t="shared" si="2"/>
        <v>7.9854345110902774</v>
      </c>
      <c r="BE13" s="4">
        <f t="shared" si="2"/>
        <v>4.7153192244536992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'Input&amp;Output'!$D$30*C14</f>
        <v>112.97201687499998</v>
      </c>
      <c r="G14" s="4">
        <f>'Input&amp;Output'!$D$30*D14</f>
        <v>169.45802531249996</v>
      </c>
      <c r="I14" s="4">
        <f t="shared" si="3"/>
        <v>282.43004218749991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v>64.524282005803371</v>
      </c>
      <c r="U14" s="4">
        <v>64.524282005803371</v>
      </c>
      <c r="W14" s="4">
        <v>282.43004218749991</v>
      </c>
      <c r="AG14" s="4">
        <f>IF(A14&lt;='Input&amp;Output'!$D$38,$K$8/'Input&amp;Output'!$D$38,0)</f>
        <v>21.9</v>
      </c>
      <c r="AH14" s="4">
        <v>64.524282005803371</v>
      </c>
      <c r="AK14" s="4">
        <f t="shared" si="4"/>
        <v>196.00576018169653</v>
      </c>
      <c r="AL14" s="4">
        <f>AK14*('Input&amp;Output'!$D$32/100)</f>
        <v>78.402304072678618</v>
      </c>
      <c r="AM14" s="8"/>
      <c r="AN14" s="5"/>
      <c r="AO14" s="4">
        <v>282.43004218749991</v>
      </c>
      <c r="AQ14" s="4">
        <v>64.524282005803371</v>
      </c>
      <c r="AR14" s="4">
        <v>78.402304072678618</v>
      </c>
      <c r="AS14" s="4">
        <f t="shared" si="0"/>
        <v>139.50345610901792</v>
      </c>
      <c r="AU14" s="4">
        <f>AS14/(1+'Input&amp;Output'!$D$33/100)^A14</f>
        <v>78.746064125941956</v>
      </c>
      <c r="AW14" s="4">
        <f t="shared" si="5"/>
        <v>795.50834959137615</v>
      </c>
      <c r="AX14" s="4">
        <f t="shared" si="1"/>
        <v>0</v>
      </c>
      <c r="AZ14" s="4">
        <f t="shared" si="2"/>
        <v>139.50345610901792</v>
      </c>
      <c r="BA14" s="4">
        <f t="shared" si="2"/>
        <v>46.719425190830869</v>
      </c>
      <c r="BB14" s="4">
        <f t="shared" si="2"/>
        <v>18.527497060777449</v>
      </c>
      <c r="BC14" s="4">
        <f t="shared" si="2"/>
        <v>8.3150539463173061</v>
      </c>
      <c r="BD14" s="4">
        <f t="shared" si="2"/>
        <v>4.1015681923363161</v>
      </c>
      <c r="BE14" s="4">
        <f t="shared" si="2"/>
        <v>2.179741501703405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'Input&amp;Output'!$D$30*C15</f>
        <v>107.32341603124996</v>
      </c>
      <c r="G15" s="4">
        <f>'Input&amp;Output'!$D$30*D15</f>
        <v>160.98512404687494</v>
      </c>
      <c r="I15" s="4">
        <f t="shared" si="3"/>
        <v>268.30854007812491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v>68.926804653643131</v>
      </c>
      <c r="U15" s="4">
        <v>68.926804653643131</v>
      </c>
      <c r="W15" s="4">
        <v>268.30854007812491</v>
      </c>
      <c r="AG15" s="4">
        <f>IF(A15&lt;='Input&amp;Output'!$D$38,$K$8/'Input&amp;Output'!$D$38,0)</f>
        <v>21.9</v>
      </c>
      <c r="AH15" s="4">
        <v>68.926804653643131</v>
      </c>
      <c r="AK15" s="4">
        <f t="shared" si="4"/>
        <v>177.48173542448177</v>
      </c>
      <c r="AL15" s="4">
        <f>AK15*('Input&amp;Output'!$D$32/100)</f>
        <v>70.992694169792713</v>
      </c>
      <c r="AM15" s="8"/>
      <c r="AN15" s="5"/>
      <c r="AO15" s="4">
        <v>268.30854007812491</v>
      </c>
      <c r="AQ15" s="4">
        <v>68.926804653643131</v>
      </c>
      <c r="AR15" s="4">
        <v>70.992694169792713</v>
      </c>
      <c r="AS15" s="4">
        <f t="shared" si="0"/>
        <v>128.38904125468906</v>
      </c>
      <c r="AU15" s="4">
        <f>AS15/(1+'Input&amp;Output'!$D$33/100)^A15</f>
        <v>65.883878811700782</v>
      </c>
      <c r="AW15" s="4">
        <f t="shared" si="5"/>
        <v>923.89739084606526</v>
      </c>
      <c r="AX15" s="4">
        <f t="shared" si="1"/>
        <v>0</v>
      </c>
      <c r="AZ15" s="4">
        <f t="shared" si="2"/>
        <v>128.38904125468906</v>
      </c>
      <c r="BA15" s="4">
        <f t="shared" si="2"/>
        <v>35.831025120108109</v>
      </c>
      <c r="BB15" s="4">
        <f t="shared" si="2"/>
        <v>12.179562995523717</v>
      </c>
      <c r="BC15" s="4">
        <f t="shared" si="2"/>
        <v>4.7828644981491921</v>
      </c>
      <c r="BD15" s="4">
        <f t="shared" si="2"/>
        <v>2.0971061798691526</v>
      </c>
      <c r="BE15" s="4">
        <f t="shared" si="2"/>
        <v>1.0030393848022583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'Input&amp;Output'!$D$30*C16</f>
        <v>101.95724522968746</v>
      </c>
      <c r="G16" s="4">
        <f>'Input&amp;Output'!$D$30*D16</f>
        <v>152.93586784453117</v>
      </c>
      <c r="I16" s="4">
        <f t="shared" si="3"/>
        <v>254.89311307421863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v>73.63951174757122</v>
      </c>
      <c r="U16" s="4">
        <v>73.63951174757122</v>
      </c>
      <c r="W16" s="4">
        <v>254.89311307421863</v>
      </c>
      <c r="AG16" s="4">
        <f>IF(A16&lt;='Input&amp;Output'!$D$38,$K$8/'Input&amp;Output'!$D$38,0)</f>
        <v>21.9</v>
      </c>
      <c r="AH16" s="4">
        <v>73.63951174757122</v>
      </c>
      <c r="AK16" s="4">
        <f t="shared" si="4"/>
        <v>159.35360132664741</v>
      </c>
      <c r="AL16" s="4">
        <f>AK16*('Input&amp;Output'!$D$32/100)</f>
        <v>63.741440530658963</v>
      </c>
      <c r="AM16" s="8"/>
      <c r="AN16" s="5"/>
      <c r="AO16" s="4">
        <v>254.89311307421863</v>
      </c>
      <c r="AQ16" s="4">
        <v>73.63951174757122</v>
      </c>
      <c r="AR16" s="4">
        <v>63.741440530658963</v>
      </c>
      <c r="AS16" s="4">
        <f t="shared" si="0"/>
        <v>117.51216079598845</v>
      </c>
      <c r="AU16" s="4">
        <f>AS16/(1+'Input&amp;Output'!$D$33/100)^A16</f>
        <v>54.820290275721483</v>
      </c>
      <c r="AW16" s="4">
        <f t="shared" si="5"/>
        <v>1041.4095516420537</v>
      </c>
      <c r="AX16" s="4">
        <f t="shared" si="1"/>
        <v>0</v>
      </c>
      <c r="AZ16" s="4">
        <f t="shared" si="2"/>
        <v>117.51216079598845</v>
      </c>
      <c r="BA16" s="4">
        <f t="shared" si="2"/>
        <v>27.329572837442008</v>
      </c>
      <c r="BB16" s="4">
        <f t="shared" si="2"/>
        <v>7.9626665015727367</v>
      </c>
      <c r="BC16" s="4">
        <f t="shared" si="2"/>
        <v>2.7360432035286992</v>
      </c>
      <c r="BD16" s="4">
        <f t="shared" si="2"/>
        <v>1.0663573611317101</v>
      </c>
      <c r="BE16" s="4">
        <f t="shared" si="2"/>
        <v>0.45903187810932988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'Input&amp;Output'!$D$30*C17</f>
        <v>96.859382968203093</v>
      </c>
      <c r="G17" s="4">
        <f>'Input&amp;Output'!$D$30*D17</f>
        <v>145.28907445230462</v>
      </c>
      <c r="I17" s="4">
        <f t="shared" si="3"/>
        <v>242.14845742050773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v>78.684798950472654</v>
      </c>
      <c r="U17" s="4">
        <v>78.684798950472654</v>
      </c>
      <c r="W17" s="4">
        <v>242.14845742050773</v>
      </c>
      <c r="AG17" s="4">
        <f>IF(A17&lt;='Input&amp;Output'!$D$38,$K$8/'Input&amp;Output'!$D$38,0)</f>
        <v>21.9</v>
      </c>
      <c r="AH17" s="4">
        <v>78.684798950472654</v>
      </c>
      <c r="AK17" s="4">
        <f t="shared" si="4"/>
        <v>141.56365847003505</v>
      </c>
      <c r="AL17" s="4">
        <f>AK17*('Input&amp;Output'!$D$32/100)</f>
        <v>56.625463388014026</v>
      </c>
      <c r="AM17" s="8"/>
      <c r="AN17" s="5"/>
      <c r="AO17" s="4">
        <v>242.14845742050773</v>
      </c>
      <c r="AQ17" s="4">
        <v>78.684798950472654</v>
      </c>
      <c r="AR17" s="4">
        <v>56.625463388014026</v>
      </c>
      <c r="AS17" s="4">
        <f t="shared" si="0"/>
        <v>106.83819508202103</v>
      </c>
      <c r="AU17" s="4">
        <f>AS17/(1+'Input&amp;Output'!$D$33/100)^A17</f>
        <v>45.309824085500026</v>
      </c>
      <c r="AW17" s="4">
        <f t="shared" si="5"/>
        <v>1148.2477467240747</v>
      </c>
      <c r="AX17" s="4">
        <f t="shared" si="1"/>
        <v>0</v>
      </c>
      <c r="AZ17" s="4">
        <f t="shared" si="2"/>
        <v>106.83819508202103</v>
      </c>
      <c r="BA17" s="4">
        <f t="shared" si="2"/>
        <v>20.705957965945029</v>
      </c>
      <c r="BB17" s="4">
        <f t="shared" si="2"/>
        <v>5.1709962326186227</v>
      </c>
      <c r="BC17" s="4">
        <f t="shared" si="2"/>
        <v>1.5547003579852889</v>
      </c>
      <c r="BD17" s="4">
        <f t="shared" si="2"/>
        <v>0.53860948425361221</v>
      </c>
      <c r="BE17" s="4">
        <f t="shared" si="2"/>
        <v>0.20866834976957233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'Input&amp;Output'!$D$30*C18</f>
        <v>92.01641381979293</v>
      </c>
      <c r="G18" s="4">
        <f>'Input&amp;Output'!$D$30*D18</f>
        <v>138.02462072968939</v>
      </c>
      <c r="I18" s="4">
        <f t="shared" si="3"/>
        <v>230.04103454948233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v>84.086720169074482</v>
      </c>
      <c r="U18" s="4">
        <v>84.086720169074482</v>
      </c>
      <c r="W18" s="4">
        <v>230.04103454948233</v>
      </c>
      <c r="AG18" s="4">
        <f>IF(A18&lt;='Input&amp;Output'!$D$38,$K$8/'Input&amp;Output'!$D$38,0)</f>
        <v>21.9</v>
      </c>
      <c r="AH18" s="4">
        <v>84.086720169074482</v>
      </c>
      <c r="AK18" s="4">
        <f t="shared" si="4"/>
        <v>124.05431438040785</v>
      </c>
      <c r="AL18" s="4">
        <f>AK18*('Input&amp;Output'!$D$32/100)</f>
        <v>49.621725752163144</v>
      </c>
      <c r="AM18" s="8"/>
      <c r="AN18" s="5"/>
      <c r="AO18" s="4">
        <v>230.04103454948233</v>
      </c>
      <c r="AQ18" s="4">
        <v>84.086720169074482</v>
      </c>
      <c r="AR18" s="4">
        <v>49.621725752163144</v>
      </c>
      <c r="AS18" s="4">
        <f t="shared" si="0"/>
        <v>96.332588628244707</v>
      </c>
      <c r="AU18" s="4">
        <f>AS18/(1+'Input&amp;Output'!$D$33/100)^A18</f>
        <v>37.140383098995343</v>
      </c>
      <c r="AW18" s="4">
        <f t="shared" si="5"/>
        <v>1244.5803353523193</v>
      </c>
      <c r="AX18" s="4">
        <f t="shared" si="1"/>
        <v>0</v>
      </c>
      <c r="AZ18" s="4">
        <f t="shared" si="2"/>
        <v>96.332588628244707</v>
      </c>
      <c r="BA18" s="4">
        <f t="shared" si="2"/>
        <v>15.558250877692387</v>
      </c>
      <c r="BB18" s="4">
        <f t="shared" si="2"/>
        <v>3.3303729765814025</v>
      </c>
      <c r="BC18" s="4">
        <f t="shared" si="2"/>
        <v>0.87613978965459505</v>
      </c>
      <c r="BD18" s="4">
        <f t="shared" si="2"/>
        <v>0.26980387303353137</v>
      </c>
      <c r="BE18" s="4">
        <f t="shared" si="2"/>
        <v>9.4074793582270222E-2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'Input&amp;Output'!$D$30*C19</f>
        <v>87.41559312880328</v>
      </c>
      <c r="G19" s="4">
        <f>'Input&amp;Output'!$D$30*D19</f>
        <v>131.12338969320493</v>
      </c>
      <c r="I19" s="4">
        <f t="shared" si="3"/>
        <v>218.53898282200822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v>89.871113839195871</v>
      </c>
      <c r="U19" s="4">
        <v>89.871113839195871</v>
      </c>
      <c r="W19" s="4">
        <v>218.53898282200822</v>
      </c>
      <c r="AG19" s="4">
        <f>IF(A19&lt;='Input&amp;Output'!$D$38,$K$8/'Input&amp;Output'!$D$38,0)</f>
        <v>0</v>
      </c>
      <c r="AH19" s="4">
        <v>89.871113839195871</v>
      </c>
      <c r="AK19" s="4">
        <f t="shared" si="4"/>
        <v>128.66786898281237</v>
      </c>
      <c r="AL19" s="4">
        <f>AK19*('Input&amp;Output'!$D$32/100)</f>
        <v>51.467147593124949</v>
      </c>
      <c r="AM19" s="8"/>
      <c r="AN19" s="5"/>
      <c r="AO19" s="4">
        <v>218.53898282200822</v>
      </c>
      <c r="AQ19" s="4">
        <v>89.871113839195871</v>
      </c>
      <c r="AR19" s="4">
        <v>51.467147593124949</v>
      </c>
      <c r="AS19" s="4">
        <f t="shared" si="0"/>
        <v>77.200721389687416</v>
      </c>
      <c r="AU19" s="4">
        <f>AS19/(1+'Input&amp;Output'!$D$33/100)^A19</f>
        <v>27.058381882648067</v>
      </c>
      <c r="AW19" s="4">
        <f t="shared" si="5"/>
        <v>1321.7810567420067</v>
      </c>
      <c r="AX19" s="4">
        <f t="shared" si="1"/>
        <v>0</v>
      </c>
      <c r="AZ19" s="4">
        <f t="shared" si="2"/>
        <v>77.200721389687416</v>
      </c>
      <c r="BA19" s="4">
        <f t="shared" si="2"/>
        <v>10.390289589631708</v>
      </c>
      <c r="BB19" s="4">
        <f t="shared" si="2"/>
        <v>1.9063953327140297</v>
      </c>
      <c r="BC19" s="4">
        <f t="shared" si="2"/>
        <v>0.43883529423105377</v>
      </c>
      <c r="BD19" s="4">
        <f t="shared" si="2"/>
        <v>0.1201223451685082</v>
      </c>
      <c r="BE19" s="4">
        <f t="shared" si="2"/>
        <v>3.7695664741058309E-2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'Input&amp;Output'!$D$30*C20</f>
        <v>83.044813472363117</v>
      </c>
      <c r="G20" s="4">
        <f>'Input&amp;Output'!$D$30*D20</f>
        <v>124.56722020854468</v>
      </c>
      <c r="I20" s="4">
        <f t="shared" si="3"/>
        <v>207.61203368090781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v>96.065739134419545</v>
      </c>
      <c r="U20" s="4">
        <v>96.065739134419545</v>
      </c>
      <c r="W20" s="4">
        <v>207.61203368090781</v>
      </c>
      <c r="AG20" s="4">
        <f>IF(A20&lt;='Input&amp;Output'!$D$38,$K$8/'Input&amp;Output'!$D$38,0)</f>
        <v>0</v>
      </c>
      <c r="AH20" s="4">
        <v>96.065739134419545</v>
      </c>
      <c r="AK20" s="4">
        <f t="shared" si="4"/>
        <v>111.54629454648827</v>
      </c>
      <c r="AL20" s="4">
        <f>AK20*('Input&amp;Output'!$D$32/100)</f>
        <v>44.618517818595308</v>
      </c>
      <c r="AM20" s="8"/>
      <c r="AN20" s="5"/>
      <c r="AO20" s="4">
        <v>207.61203368090781</v>
      </c>
      <c r="AQ20" s="4">
        <v>96.065739134419545</v>
      </c>
      <c r="AR20" s="4">
        <v>44.618517818595308</v>
      </c>
      <c r="AS20" s="4">
        <f t="shared" si="0"/>
        <v>66.927776727892962</v>
      </c>
      <c r="AU20" s="4">
        <f>AS20/(1+'Input&amp;Output'!$D$33/100)^A20</f>
        <v>21.325252226344706</v>
      </c>
      <c r="AW20" s="4">
        <f t="shared" si="5"/>
        <v>1388.7088334698997</v>
      </c>
      <c r="AX20" s="4">
        <f t="shared" si="1"/>
        <v>0</v>
      </c>
      <c r="AZ20" s="4">
        <f t="shared" si="2"/>
        <v>66.927776727892962</v>
      </c>
      <c r="BA20" s="4">
        <f t="shared" si="2"/>
        <v>7.5063955499720878</v>
      </c>
      <c r="BB20" s="4">
        <f t="shared" si="2"/>
        <v>1.1805108154267436</v>
      </c>
      <c r="BC20" s="4">
        <f t="shared" si="2"/>
        <v>0.23777522787289082</v>
      </c>
      <c r="BD20" s="4">
        <f t="shared" si="2"/>
        <v>5.7854392439961627E-2</v>
      </c>
      <c r="BE20" s="4">
        <f t="shared" si="2"/>
        <v>1.6339789240208243E-2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'Input&amp;Output'!$D$30*C21</f>
        <v>78.892572798744965</v>
      </c>
      <c r="G21" s="4">
        <f>'Input&amp;Output'!$D$30*D21</f>
        <v>118.33885919811743</v>
      </c>
      <c r="I21" s="4">
        <f t="shared" si="3"/>
        <v>197.2314319968624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v>102.70042290464741</v>
      </c>
      <c r="U21" s="4">
        <v>102.70042290464741</v>
      </c>
      <c r="W21" s="4">
        <v>197.2314319968624</v>
      </c>
      <c r="AG21" s="4">
        <f>IF(A21&lt;='Input&amp;Output'!$D$38,$K$8/'Input&amp;Output'!$D$38,0)</f>
        <v>0</v>
      </c>
      <c r="AH21" s="4">
        <v>102.70042290464741</v>
      </c>
      <c r="AK21" s="4">
        <f t="shared" si="4"/>
        <v>94.531009092214987</v>
      </c>
      <c r="AL21" s="4">
        <f>AK21*('Input&amp;Output'!$D$32/100)</f>
        <v>37.812403636885996</v>
      </c>
      <c r="AM21" s="8"/>
      <c r="AN21" s="5"/>
      <c r="AO21" s="4">
        <v>197.2314319968624</v>
      </c>
      <c r="AQ21" s="4">
        <v>102.70042290464741</v>
      </c>
      <c r="AR21" s="4">
        <v>37.812403636885996</v>
      </c>
      <c r="AS21" s="4">
        <f t="shared" si="0"/>
        <v>56.718605455328991</v>
      </c>
      <c r="AU21" s="4">
        <f>AS21/(1+'Input&amp;Output'!$D$33/100)^A21</f>
        <v>16.429359668747786</v>
      </c>
      <c r="AW21" s="4">
        <f t="shared" si="5"/>
        <v>1445.4274389252287</v>
      </c>
      <c r="AX21" s="4">
        <f t="shared" si="1"/>
        <v>0</v>
      </c>
      <c r="AZ21" s="4">
        <f t="shared" si="2"/>
        <v>56.718605455328991</v>
      </c>
      <c r="BA21" s="4">
        <f t="shared" si="2"/>
        <v>5.301140876598434</v>
      </c>
      <c r="BB21" s="4">
        <f t="shared" si="2"/>
        <v>0.71459682201439889</v>
      </c>
      <c r="BC21" s="4">
        <f t="shared" si="2"/>
        <v>0.12594060340227234</v>
      </c>
      <c r="BD21" s="4">
        <f t="shared" si="2"/>
        <v>2.7238486844318455E-2</v>
      </c>
      <c r="BE21" s="4">
        <f t="shared" si="2"/>
        <v>6.9236578924962147E-3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'Input&amp;Output'!$D$30*C22</f>
        <v>74.947944158807701</v>
      </c>
      <c r="G22" s="4">
        <f>'Input&amp;Output'!$D$30*D22</f>
        <v>112.42191623821157</v>
      </c>
      <c r="I22" s="4">
        <f t="shared" si="3"/>
        <v>187.36986039701927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v>109.80721821883162</v>
      </c>
      <c r="U22" s="4">
        <v>109.80721821883162</v>
      </c>
      <c r="W22" s="4">
        <v>187.36986039701927</v>
      </c>
      <c r="AG22" s="4">
        <f>IF(A22&lt;='Input&amp;Output'!$D$38,$K$8/'Input&amp;Output'!$D$38,0)</f>
        <v>0</v>
      </c>
      <c r="AH22" s="4">
        <v>109.80721821883162</v>
      </c>
      <c r="AK22" s="4">
        <f t="shared" si="4"/>
        <v>77.562642178187645</v>
      </c>
      <c r="AL22" s="4">
        <f>AK22*('Input&amp;Output'!$D$32/100)</f>
        <v>31.025056871275059</v>
      </c>
      <c r="AM22" s="8"/>
      <c r="AN22" s="5"/>
      <c r="AO22" s="4">
        <v>187.36986039701927</v>
      </c>
      <c r="AQ22" s="4">
        <v>109.80721821883162</v>
      </c>
      <c r="AR22" s="4">
        <v>31.025056871275059</v>
      </c>
      <c r="AS22" s="4">
        <f t="shared" si="0"/>
        <v>46.53758530691259</v>
      </c>
      <c r="AU22" s="4">
        <f>AS22/(1+'Input&amp;Output'!$D$33/100)^A22</f>
        <v>12.25480071124548</v>
      </c>
      <c r="AW22" s="4">
        <f t="shared" si="5"/>
        <v>1491.9650242321413</v>
      </c>
      <c r="AX22" s="4">
        <f t="shared" si="1"/>
        <v>0</v>
      </c>
      <c r="AZ22" s="4">
        <f t="shared" si="2"/>
        <v>46.53758530691259</v>
      </c>
      <c r="BA22" s="4">
        <f t="shared" si="2"/>
        <v>3.6246527012340084</v>
      </c>
      <c r="BB22" s="4">
        <f t="shared" si="2"/>
        <v>0.41880450613002251</v>
      </c>
      <c r="BC22" s="4">
        <f t="shared" si="2"/>
        <v>6.4583873397739577E-2</v>
      </c>
      <c r="BD22" s="4">
        <f t="shared" si="2"/>
        <v>1.2416202124040097E-2</v>
      </c>
      <c r="BE22" s="4">
        <f t="shared" si="2"/>
        <v>2.8404287907051141E-3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'Input&amp;Output'!$D$30*C23</f>
        <v>71.20054695086732</v>
      </c>
      <c r="G23" s="4">
        <f>'Input&amp;Output'!$D$30*D23</f>
        <v>106.80082042630097</v>
      </c>
      <c r="I23" s="4">
        <f t="shared" si="3"/>
        <v>178.00136737716829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v>117.42057545990087</v>
      </c>
      <c r="U23" s="4">
        <v>117.42057545990087</v>
      </c>
      <c r="W23" s="4">
        <v>178.00136737716829</v>
      </c>
      <c r="AG23" s="4">
        <f>IF(A23&lt;='Input&amp;Output'!$D$38,$K$8/'Input&amp;Output'!$D$38,0)</f>
        <v>0</v>
      </c>
      <c r="AH23" s="4">
        <v>117.42057545990087</v>
      </c>
      <c r="AK23" s="4">
        <f t="shared" si="4"/>
        <v>60.580791917267419</v>
      </c>
      <c r="AL23" s="4">
        <f>AK23*('Input&amp;Output'!$D$32/100)</f>
        <v>24.232316766906969</v>
      </c>
      <c r="AM23" s="8"/>
      <c r="AN23" s="5"/>
      <c r="AO23" s="4">
        <v>178.00136737716829</v>
      </c>
      <c r="AQ23" s="4">
        <v>117.42057545990087</v>
      </c>
      <c r="AR23" s="4">
        <v>24.232316766906969</v>
      </c>
      <c r="AS23" s="4">
        <f t="shared" si="0"/>
        <v>36.34847515036045</v>
      </c>
      <c r="AU23" s="4">
        <f>AS23/(1+'Input&amp;Output'!$D$33/100)^A23</f>
        <v>8.7015359576888986</v>
      </c>
      <c r="AW23" s="4">
        <f t="shared" si="5"/>
        <v>1528.3134993825017</v>
      </c>
      <c r="AX23" s="4">
        <f t="shared" si="1"/>
        <v>0</v>
      </c>
      <c r="AZ23" s="4">
        <f t="shared" si="2"/>
        <v>36.34847515036045</v>
      </c>
      <c r="BA23" s="4">
        <f t="shared" si="2"/>
        <v>2.359214918626237</v>
      </c>
      <c r="BB23" s="4">
        <f t="shared" si="2"/>
        <v>0.23364993329787645</v>
      </c>
      <c r="BC23" s="4">
        <f t="shared" si="2"/>
        <v>3.1527276579644888E-2</v>
      </c>
      <c r="BD23" s="4">
        <f t="shared" si="2"/>
        <v>5.3876406372655753E-3</v>
      </c>
      <c r="BE23" s="4">
        <f t="shared" si="2"/>
        <v>1.1092674301257462E-3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'Input&amp;Output'!$D$30*C24</f>
        <v>67.640519603323952</v>
      </c>
      <c r="G24" s="4">
        <f>'Input&amp;Output'!$D$30*D24</f>
        <v>101.46077940498593</v>
      </c>
      <c r="I24" s="4">
        <f t="shared" si="3"/>
        <v>169.10129900830987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v>125.57752700005267</v>
      </c>
      <c r="U24" s="4">
        <v>125.57752700005267</v>
      </c>
      <c r="W24" s="4">
        <v>169.10129900830987</v>
      </c>
      <c r="AG24" s="4">
        <f>IF(A24&lt;='Input&amp;Output'!$D$38,$K$8/'Input&amp;Output'!$D$38,0)</f>
        <v>0</v>
      </c>
      <c r="AH24" s="4">
        <v>125.57752700005267</v>
      </c>
      <c r="AK24" s="4">
        <f t="shared" si="4"/>
        <v>43.523772008257197</v>
      </c>
      <c r="AL24" s="4">
        <f>AK24*('Input&amp;Output'!$D$32/100)</f>
        <v>17.409508803302881</v>
      </c>
      <c r="AM24" s="8"/>
      <c r="AN24" s="5"/>
      <c r="AO24" s="4">
        <v>169.10129900830987</v>
      </c>
      <c r="AQ24" s="4">
        <v>125.57752700005267</v>
      </c>
      <c r="AR24" s="4">
        <v>17.409508803302881</v>
      </c>
      <c r="AS24" s="4">
        <f t="shared" si="0"/>
        <v>26.114263204954316</v>
      </c>
      <c r="AU24" s="4">
        <f>AS24/(1+'Input&amp;Output'!$D$33/100)^A24</f>
        <v>5.6832245330906828</v>
      </c>
      <c r="AW24" s="4">
        <f t="shared" si="5"/>
        <v>1554.4277625874561</v>
      </c>
      <c r="AX24" s="4">
        <f t="shared" si="1"/>
        <v>0</v>
      </c>
      <c r="AZ24" s="4">
        <f t="shared" si="2"/>
        <v>26.114263204954316</v>
      </c>
      <c r="BA24" s="4">
        <f t="shared" si="2"/>
        <v>1.4124654722379621</v>
      </c>
      <c r="BB24" s="4">
        <f t="shared" si="2"/>
        <v>0.11990276720630109</v>
      </c>
      <c r="BC24" s="4">
        <f t="shared" si="2"/>
        <v>1.4156570449834847E-2</v>
      </c>
      <c r="BD24" s="4">
        <f t="shared" si="2"/>
        <v>2.1503922955847664E-3</v>
      </c>
      <c r="BE24" s="4">
        <f t="shared" si="2"/>
        <v>3.9847203376700311E-4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'Input&amp;Output'!$D$30*C25</f>
        <v>64.258493623157747</v>
      </c>
      <c r="G25" s="4">
        <f>'Input&amp;Output'!$D$30*D25</f>
        <v>96.387740434736614</v>
      </c>
      <c r="I25" s="4">
        <f t="shared" si="3"/>
        <v>160.64623405789436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v>134.31788657173794</v>
      </c>
      <c r="U25" s="4">
        <v>134.31788657173794</v>
      </c>
      <c r="W25" s="4">
        <v>160.64623405789436</v>
      </c>
      <c r="AG25" s="4">
        <f>IF(A25&lt;='Input&amp;Output'!$D$38,$K$8/'Input&amp;Output'!$D$38,0)</f>
        <v>0</v>
      </c>
      <c r="AH25" s="4">
        <v>134.31788657173794</v>
      </c>
      <c r="AK25" s="4">
        <f t="shared" si="4"/>
        <v>26.328347486156417</v>
      </c>
      <c r="AL25" s="4">
        <f>AK25*('Input&amp;Output'!$D$32/100)</f>
        <v>10.531338994462567</v>
      </c>
      <c r="AM25" s="8"/>
      <c r="AN25" s="5"/>
      <c r="AO25" s="4">
        <v>160.64623405789436</v>
      </c>
      <c r="AQ25" s="4">
        <v>134.31788657173794</v>
      </c>
      <c r="AR25" s="4">
        <v>10.531338994462567</v>
      </c>
      <c r="AS25" s="4">
        <f t="shared" si="0"/>
        <v>15.79700849169385</v>
      </c>
      <c r="AU25" s="4">
        <f>AS25/(1+'Input&amp;Output'!$D$33/100)^A25</f>
        <v>3.1253539146517912</v>
      </c>
      <c r="AW25" s="4">
        <f t="shared" si="5"/>
        <v>1570.2247710791498</v>
      </c>
      <c r="AX25" s="4">
        <f t="shared" si="1"/>
        <v>0</v>
      </c>
      <c r="AZ25" s="4">
        <f t="shared" si="2"/>
        <v>15.79700849169385</v>
      </c>
      <c r="BA25" s="4">
        <f t="shared" si="2"/>
        <v>0.71202241995906512</v>
      </c>
      <c r="BB25" s="4">
        <f t="shared" si="2"/>
        <v>5.1808169156719847E-2</v>
      </c>
      <c r="BC25" s="4">
        <f t="shared" si="2"/>
        <v>5.3522346642082509E-3</v>
      </c>
      <c r="BD25" s="4">
        <f t="shared" si="2"/>
        <v>7.2267372489590606E-4</v>
      </c>
      <c r="BE25" s="4">
        <f t="shared" si="2"/>
        <v>1.2052161019663887E-4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'Input&amp;Output'!$D$30*C26</f>
        <v>61.045568941999861</v>
      </c>
      <c r="G26" s="4">
        <f>'Input&amp;Output'!$D$30*D26</f>
        <v>91.568353412999798</v>
      </c>
      <c r="I26" s="4">
        <f t="shared" si="3"/>
        <v>152.61392235499966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v>143.68446454444995</v>
      </c>
      <c r="U26" s="4">
        <v>143.68446454444995</v>
      </c>
      <c r="W26" s="4">
        <v>152.61392235499966</v>
      </c>
      <c r="AG26" s="4">
        <f>IF(A26&lt;='Input&amp;Output'!$D$38,$K$8/'Input&amp;Output'!$D$38,0)</f>
        <v>0</v>
      </c>
      <c r="AH26" s="4">
        <v>143.68446454444995</v>
      </c>
      <c r="AK26" s="4">
        <f t="shared" si="4"/>
        <v>8.9294578105497067</v>
      </c>
      <c r="AL26" s="4">
        <f>AK26*('Input&amp;Output'!$D$32/100)</f>
        <v>3.5717831242198828</v>
      </c>
      <c r="AM26" s="8"/>
      <c r="AN26" s="5"/>
      <c r="AO26" s="4">
        <v>152.61392235499966</v>
      </c>
      <c r="AQ26" s="4">
        <v>143.68446454444995</v>
      </c>
      <c r="AR26" s="4">
        <v>3.5717831242198828</v>
      </c>
      <c r="AS26" s="4">
        <f t="shared" si="0"/>
        <v>5.3576746863298244</v>
      </c>
      <c r="AU26" s="4">
        <f>AS26/(1+'Input&amp;Output'!$D$33/100)^A26</f>
        <v>0.96362488581050798</v>
      </c>
      <c r="AW26" s="4">
        <f t="shared" si="5"/>
        <v>1575.5824457654796</v>
      </c>
      <c r="AX26" s="4">
        <f t="shared" si="1"/>
        <v>0</v>
      </c>
      <c r="AZ26" s="4">
        <f t="shared" si="2"/>
        <v>5.3576746863298244</v>
      </c>
      <c r="BA26" s="4">
        <f t="shared" si="2"/>
        <v>0.20123981583389772</v>
      </c>
      <c r="BB26" s="4">
        <f t="shared" si="2"/>
        <v>1.2550808346403052E-2</v>
      </c>
      <c r="BC26" s="4">
        <f t="shared" si="2"/>
        <v>1.1345317449979256E-3</v>
      </c>
      <c r="BD26" s="4">
        <f t="shared" si="2"/>
        <v>1.3616680526661878E-4</v>
      </c>
      <c r="BE26" s="4">
        <f t="shared" si="2"/>
        <v>2.0437906976050661E-5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'Input&amp;Output'!$D$30*C27</f>
        <v>57.993290494899867</v>
      </c>
      <c r="G27" s="4">
        <f>'Input&amp;Output'!$D$30*D27</f>
        <v>86.989935742349786</v>
      </c>
      <c r="I27" s="4">
        <f t="shared" si="3"/>
        <v>144.98322623724965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v>153.72330042053716</v>
      </c>
      <c r="U27" s="4">
        <v>153.72330042053716</v>
      </c>
      <c r="W27" s="4">
        <v>144.98322623724965</v>
      </c>
      <c r="AG27" s="4">
        <f>IF(A27&lt;='Input&amp;Output'!$D$38,$K$8/'Input&amp;Output'!$D$38,0)</f>
        <v>0</v>
      </c>
      <c r="AH27" s="4">
        <v>153.72330042053716</v>
      </c>
      <c r="AK27" s="4">
        <f t="shared" si="4"/>
        <v>0</v>
      </c>
      <c r="AL27" s="4">
        <f>AK27*('Input&amp;Output'!$D$32/100)</f>
        <v>0</v>
      </c>
      <c r="AM27" s="8"/>
      <c r="AN27" s="5"/>
      <c r="AO27" s="4">
        <v>144.98322623724965</v>
      </c>
      <c r="AQ27" s="4">
        <v>153.72330042053716</v>
      </c>
      <c r="AR27" s="4">
        <v>0</v>
      </c>
      <c r="AS27" s="4">
        <f t="shared" si="0"/>
        <v>-8.7400741832875042</v>
      </c>
      <c r="AU27" s="4">
        <f>AS27/(1+'Input&amp;Output'!$D$33/100)^A27</f>
        <v>-1.4290719693844081</v>
      </c>
      <c r="AW27" s="4">
        <f t="shared" si="5"/>
        <v>1566.8423715821921</v>
      </c>
      <c r="AX27" s="4">
        <f t="shared" si="1"/>
        <v>0</v>
      </c>
      <c r="AZ27" s="4">
        <f t="shared" si="2"/>
        <v>-8.7400741832875042</v>
      </c>
      <c r="BA27" s="4">
        <f t="shared" si="2"/>
        <v>-0.27357187305951841</v>
      </c>
      <c r="BB27" s="4">
        <f t="shared" si="2"/>
        <v>-1.4624547618934497E-2</v>
      </c>
      <c r="BC27" s="4">
        <f t="shared" si="2"/>
        <v>-1.1567391866705034E-3</v>
      </c>
      <c r="BD27" s="4">
        <f t="shared" si="2"/>
        <v>-1.2340635412515883E-4</v>
      </c>
      <c r="BE27" s="4">
        <f t="shared" si="2"/>
        <v>-1.6670368544173249E-5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'Input&amp;Output'!$D$30*C28</f>
        <v>55.093625970154875</v>
      </c>
      <c r="G28" s="4">
        <f>'Input&amp;Output'!$D$30*D28</f>
        <v>82.640438955232312</v>
      </c>
      <c r="H28" s="11"/>
      <c r="I28" s="4">
        <f t="shared" si="3"/>
        <v>137.7340649253872</v>
      </c>
      <c r="M28" s="11">
        <v>1.4859473959783542</v>
      </c>
      <c r="N28" s="11">
        <v>7.9598931154332622</v>
      </c>
      <c r="O28" s="11">
        <v>16.035677361064241</v>
      </c>
      <c r="P28" s="11">
        <v>0.43926841438126812</v>
      </c>
      <c r="Q28" s="11">
        <v>14.733224889023084</v>
      </c>
      <c r="R28" s="11">
        <v>7.739368924972359</v>
      </c>
      <c r="S28" s="11">
        <v>116.09053387458539</v>
      </c>
      <c r="T28" s="11">
        <v>164.48391397543796</v>
      </c>
      <c r="U28" s="11">
        <v>164.48391397543796</v>
      </c>
      <c r="W28" s="11">
        <v>137.7340649253872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4"/>
        <v>0</v>
      </c>
      <c r="AL28" s="4">
        <f>AK28*('Input&amp;Output'!$D$32/100)</f>
        <v>0</v>
      </c>
      <c r="AM28" s="18"/>
      <c r="AN28" s="5"/>
      <c r="AO28" s="11">
        <v>137.7340649253872</v>
      </c>
      <c r="AP28" s="11"/>
      <c r="AQ28" s="11">
        <v>164.48391397543796</v>
      </c>
      <c r="AR28" s="11">
        <v>0</v>
      </c>
      <c r="AS28" s="4">
        <f t="shared" si="0"/>
        <v>-26.749849050050756</v>
      </c>
      <c r="AU28" s="4">
        <f>AS28/(1+'Input&amp;Output'!$D$33/100)^A28</f>
        <v>-3.9761946118977325</v>
      </c>
      <c r="AV28" s="14"/>
      <c r="AW28" s="4">
        <f t="shared" si="5"/>
        <v>1540.0925225321414</v>
      </c>
      <c r="AX28" s="4">
        <f t="shared" si="1"/>
        <v>0</v>
      </c>
      <c r="AZ28" s="4">
        <f t="shared" si="2"/>
        <v>-26.749849050050756</v>
      </c>
      <c r="BA28" s="4">
        <f t="shared" si="2"/>
        <v>-0.69774448851122894</v>
      </c>
      <c r="BB28" s="4">
        <f t="shared" si="2"/>
        <v>-3.1971324027352567E-2</v>
      </c>
      <c r="BC28" s="4">
        <f t="shared" si="2"/>
        <v>-2.2126956522921962E-3</v>
      </c>
      <c r="BD28" s="4">
        <f t="shared" si="2"/>
        <v>-2.0983176492797136E-4</v>
      </c>
      <c r="BE28" s="4">
        <f t="shared" si="2"/>
        <v>-2.551064400677753E-5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2809.8316598505835</v>
      </c>
      <c r="I30" s="12">
        <f>SUM(I9:I29)</f>
        <v>4683.0527664176398</v>
      </c>
      <c r="M30" s="12">
        <f t="shared" ref="M30:W30" si="6">SUM(M9:M29)</f>
        <v>24.783317194896075</v>
      </c>
      <c r="N30" s="12">
        <f t="shared" si="6"/>
        <v>104.15775542409848</v>
      </c>
      <c r="O30" s="12">
        <f t="shared" si="6"/>
        <v>194.9636333788014</v>
      </c>
      <c r="P30" s="12">
        <f>SUM(P9:P29)</f>
        <v>8.0061098525080752</v>
      </c>
      <c r="Q30" s="12">
        <f t="shared" si="6"/>
        <v>137.97547377925386</v>
      </c>
      <c r="R30" s="12">
        <f t="shared" si="6"/>
        <v>87.730353567434619</v>
      </c>
      <c r="S30" s="12">
        <f t="shared" si="6"/>
        <v>1315.9553035115193</v>
      </c>
      <c r="U30" s="12">
        <f t="shared" si="6"/>
        <v>1873.5719467085121</v>
      </c>
      <c r="W30" s="12">
        <f t="shared" si="6"/>
        <v>4683.0527664176398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2625.9707429424661</v>
      </c>
      <c r="AL30" s="12">
        <f>SUM(AL9:AL29)</f>
        <v>1050.3882971769867</v>
      </c>
      <c r="AM30" s="19" t="s">
        <v>82</v>
      </c>
      <c r="AO30" s="12">
        <f>SUM(AO8:AO29)</f>
        <v>4683.0527664176398</v>
      </c>
      <c r="AP30" s="12">
        <f>SUM(AP8:AP29)</f>
        <v>219</v>
      </c>
      <c r="AQ30" s="12">
        <f>SUM(AQ8:AQ29)</f>
        <v>1873.5719467085121</v>
      </c>
      <c r="AR30" s="12">
        <f>SUM(AR8:AR29)</f>
        <v>1050.3882971769867</v>
      </c>
      <c r="AS30" s="12">
        <f>SUM(AS8:AS29)</f>
        <v>1540.0925225321414</v>
      </c>
      <c r="AU30" s="15">
        <f>SUM(AU8:AU29)</f>
        <v>825.24822815922471</v>
      </c>
      <c r="AX30" s="16">
        <f>SUM(AX8:AX29)</f>
        <v>1.1022762750671766</v>
      </c>
      <c r="AZ30" s="12">
        <f t="shared" ref="AZ30:BE30" si="7">SUM(AZ8:AZ29)</f>
        <v>1540.0925225321414</v>
      </c>
      <c r="BA30" s="12">
        <f t="shared" si="7"/>
        <v>494.22707087600321</v>
      </c>
      <c r="BB30" s="12">
        <f t="shared" si="7"/>
        <v>204.97031595929172</v>
      </c>
      <c r="BC30" s="12">
        <f t="shared" si="7"/>
        <v>79.99219993043144</v>
      </c>
      <c r="BD30" s="12">
        <f t="shared" si="7"/>
        <v>11.481280850100811</v>
      </c>
      <c r="BE30" s="12">
        <f t="shared" si="7"/>
        <v>-31.590734366206512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825.24822815922471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0.84565702912404195</v>
      </c>
    </row>
    <row r="34" spans="45:48" ht="12" customHeight="1" thickBot="1" x14ac:dyDescent="0.25">
      <c r="AS34" s="75" t="s">
        <v>136</v>
      </c>
      <c r="AT34" s="76"/>
      <c r="AU34" s="77">
        <f>AX30</f>
        <v>1.1022762750671766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3.7682567495855008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C853-8CD6-48ED-8AB5-15769B279BB7}">
  <dimension ref="A1:BM35"/>
  <sheetViews>
    <sheetView topLeftCell="A3" workbookViewId="0">
      <selection activeCell="AS8" sqref="AS8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'Capex=min'!M8:S8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'Input&amp;Output'!$D$30*C9</f>
        <v>146</v>
      </c>
      <c r="G9" s="4">
        <f>'Input&amp;Output'!$D$30*D9</f>
        <v>219</v>
      </c>
      <c r="I9" s="4">
        <f>SUM(F9:G9)</f>
        <v>365</v>
      </c>
      <c r="M9" s="4" cm="1">
        <f t="array" ref="M9:U28">'Capex=min'!M9:U28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v>46.482600000000005</v>
      </c>
      <c r="U9" s="4">
        <v>46.482600000000005</v>
      </c>
      <c r="W9" s="4" cm="1">
        <f t="array" ref="W9:W28">I9:I28</f>
        <v>365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296.61740000000003</v>
      </c>
      <c r="AL9" s="4">
        <f>AK9*('Input&amp;Output'!$D$32/100)</f>
        <v>118.64696000000002</v>
      </c>
      <c r="AM9" s="8"/>
      <c r="AN9" s="5"/>
      <c r="AO9" s="4" cm="1">
        <f t="array" ref="AO9:AO28">W9:W28</f>
        <v>365</v>
      </c>
      <c r="AQ9" s="4" cm="1">
        <f t="array" ref="AQ9:AQ28">AH9:AH28</f>
        <v>46.482600000000005</v>
      </c>
      <c r="AR9" s="4" cm="1">
        <f t="array" ref="AR9:AR28">AL9:AL28</f>
        <v>118.64696000000002</v>
      </c>
      <c r="AS9" s="4">
        <f t="shared" ref="AS9:AS28" si="0">AO9-AP9-AQ9-AR9</f>
        <v>199.87043999999997</v>
      </c>
      <c r="AU9" s="4">
        <f>AS9/(1+'Input&amp;Output'!$D$33/100)^A9</f>
        <v>181.70039999999997</v>
      </c>
      <c r="AW9" s="4">
        <f>AW8+AS9</f>
        <v>-19.129560000000026</v>
      </c>
      <c r="AX9" s="4">
        <f t="shared" ref="AX9:AX28" si="1">IF(AND(AW9&gt;0,AW8&lt;0),A8+ABS(AW8/AS9),0)</f>
        <v>0</v>
      </c>
      <c r="AZ9" s="4">
        <f t="shared" ref="AZ9:BE28" si="2">$AS9/(1+AZ$5)^$A9</f>
        <v>199.87043999999997</v>
      </c>
      <c r="BA9" s="4">
        <f t="shared" si="2"/>
        <v>166.55869999999999</v>
      </c>
      <c r="BB9" s="4">
        <f t="shared" si="2"/>
        <v>142.7646</v>
      </c>
      <c r="BC9" s="4">
        <f t="shared" si="2"/>
        <v>124.91902499999998</v>
      </c>
      <c r="BD9" s="4">
        <f t="shared" si="2"/>
        <v>111.03913333333331</v>
      </c>
      <c r="BE9" s="4">
        <f t="shared" si="2"/>
        <v>99.935219999999987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'Input&amp;Output'!$D$30*C10</f>
        <v>138.69999999999999</v>
      </c>
      <c r="G10" s="4">
        <f>'Input&amp;Output'!$D$30*D10</f>
        <v>208.05</v>
      </c>
      <c r="I10" s="4">
        <f t="shared" ref="I10:I28" si="3">SUM(F10:G10)</f>
        <v>346.75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v>49.619836000000006</v>
      </c>
      <c r="U10" s="4">
        <v>49.619836000000006</v>
      </c>
      <c r="W10" s="4">
        <v>346.75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4">MAX(0,W10-AH10-AG10)</f>
        <v>275.230164</v>
      </c>
      <c r="AL10" s="4">
        <f>AK10*('Input&amp;Output'!$D$32/100)</f>
        <v>110.09206560000001</v>
      </c>
      <c r="AM10" s="8"/>
      <c r="AN10" s="5"/>
      <c r="AO10" s="4">
        <v>346.75</v>
      </c>
      <c r="AQ10" s="4">
        <v>49.619836000000006</v>
      </c>
      <c r="AR10" s="4">
        <v>110.09206560000001</v>
      </c>
      <c r="AS10" s="4">
        <f t="shared" si="0"/>
        <v>187.03809839999997</v>
      </c>
      <c r="AU10" s="4">
        <f>AS10/(1+'Input&amp;Output'!$D$33/100)^A10</f>
        <v>154.57694082644622</v>
      </c>
      <c r="AW10" s="4">
        <f t="shared" ref="AW10:AW28" si="5">AW9+AS10</f>
        <v>167.90853839999994</v>
      </c>
      <c r="AX10" s="4">
        <f t="shared" si="1"/>
        <v>1.1022762750671766</v>
      </c>
      <c r="AZ10" s="4">
        <f t="shared" si="2"/>
        <v>187.03809839999997</v>
      </c>
      <c r="BA10" s="4">
        <f t="shared" si="2"/>
        <v>129.88756833333332</v>
      </c>
      <c r="BB10" s="4">
        <f t="shared" si="2"/>
        <v>95.427601224489791</v>
      </c>
      <c r="BC10" s="4">
        <f t="shared" si="2"/>
        <v>73.061757187499978</v>
      </c>
      <c r="BD10" s="4">
        <f t="shared" si="2"/>
        <v>57.727808148148135</v>
      </c>
      <c r="BE10" s="4">
        <f t="shared" si="2"/>
        <v>46.759524599999992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'Input&amp;Output'!$D$30*C11</f>
        <v>131.76499999999999</v>
      </c>
      <c r="G11" s="4">
        <f>'Input&amp;Output'!$D$30*D11</f>
        <v>197.64749999999998</v>
      </c>
      <c r="I11" s="4">
        <f t="shared" si="3"/>
        <v>329.41249999999997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v>52.976337360000002</v>
      </c>
      <c r="U11" s="4">
        <v>52.976337360000002</v>
      </c>
      <c r="W11" s="4">
        <v>329.41249999999997</v>
      </c>
      <c r="AG11" s="4">
        <f>IF(A11&lt;='Input&amp;Output'!$D$38,$K$8/'Input&amp;Output'!$D$38,0)</f>
        <v>21.9</v>
      </c>
      <c r="AH11" s="4">
        <v>52.976337360000002</v>
      </c>
      <c r="AK11" s="4">
        <f t="shared" si="4"/>
        <v>254.53616263999996</v>
      </c>
      <c r="AL11" s="4">
        <f>AK11*('Input&amp;Output'!$D$32/100)</f>
        <v>101.81446505599999</v>
      </c>
      <c r="AM11" s="8"/>
      <c r="AN11" s="5"/>
      <c r="AO11" s="4">
        <v>329.41249999999997</v>
      </c>
      <c r="AQ11" s="4">
        <v>52.976337360000002</v>
      </c>
      <c r="AR11" s="4">
        <v>101.81446505599999</v>
      </c>
      <c r="AS11" s="4">
        <f t="shared" si="0"/>
        <v>174.62169758399997</v>
      </c>
      <c r="AU11" s="4">
        <f>AS11/(1+'Input&amp;Output'!$D$33/100)^A11</f>
        <v>131.19586595341843</v>
      </c>
      <c r="AW11" s="4">
        <f t="shared" si="5"/>
        <v>342.53023598399989</v>
      </c>
      <c r="AX11" s="4">
        <f t="shared" si="1"/>
        <v>0</v>
      </c>
      <c r="AZ11" s="4">
        <f t="shared" si="2"/>
        <v>174.62169758399997</v>
      </c>
      <c r="BA11" s="4">
        <f t="shared" si="2"/>
        <v>101.05422313888887</v>
      </c>
      <c r="BB11" s="4">
        <f t="shared" si="2"/>
        <v>63.637644892128286</v>
      </c>
      <c r="BC11" s="4">
        <f t="shared" si="2"/>
        <v>42.632250386718731</v>
      </c>
      <c r="BD11" s="4">
        <f t="shared" si="2"/>
        <v>29.941992041152254</v>
      </c>
      <c r="BE11" s="4">
        <f t="shared" si="2"/>
        <v>21.827712197999997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'Input&amp;Output'!$D$30*C12</f>
        <v>125.17674999999998</v>
      </c>
      <c r="G12" s="4">
        <f>'Input&amp;Output'!$D$30*D12</f>
        <v>187.76512499999995</v>
      </c>
      <c r="I12" s="4">
        <f t="shared" si="3"/>
        <v>312.94187499999992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v>56.567804473600006</v>
      </c>
      <c r="U12" s="4">
        <v>56.567804473600006</v>
      </c>
      <c r="W12" s="4">
        <v>312.94187499999992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4"/>
        <v>234.47407052639991</v>
      </c>
      <c r="AL12" s="4">
        <f>AK12*('Input&amp;Output'!$D$32/100)</f>
        <v>93.789628210559968</v>
      </c>
      <c r="AM12" s="8"/>
      <c r="AN12" s="5"/>
      <c r="AO12" s="4">
        <v>312.94187499999992</v>
      </c>
      <c r="AQ12" s="4">
        <v>56.567804473600006</v>
      </c>
      <c r="AR12" s="4">
        <v>93.789628210559968</v>
      </c>
      <c r="AS12" s="4">
        <f t="shared" si="0"/>
        <v>162.58444231583996</v>
      </c>
      <c r="AU12" s="4">
        <f>AS12/(1+'Input&amp;Output'!$D$33/100)^A12</f>
        <v>111.04736173474484</v>
      </c>
      <c r="AW12" s="4">
        <f t="shared" si="5"/>
        <v>505.11467829983985</v>
      </c>
      <c r="AX12" s="4">
        <f t="shared" si="1"/>
        <v>0</v>
      </c>
      <c r="AZ12" s="4">
        <f t="shared" si="2"/>
        <v>162.58444231583996</v>
      </c>
      <c r="BA12" s="4">
        <f t="shared" si="2"/>
        <v>78.406849110648139</v>
      </c>
      <c r="BB12" s="4">
        <f t="shared" si="2"/>
        <v>42.322064326280717</v>
      </c>
      <c r="BC12" s="4">
        <f t="shared" si="2"/>
        <v>24.808417101415998</v>
      </c>
      <c r="BD12" s="4">
        <f t="shared" si="2"/>
        <v>15.487772663831727</v>
      </c>
      <c r="BE12" s="4">
        <f t="shared" si="2"/>
        <v>10.161527644739998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'Input&amp;Output'!$D$30*C13</f>
        <v>118.91791249999999</v>
      </c>
      <c r="G13" s="4">
        <f>'Input&amp;Output'!$D$30*D13</f>
        <v>178.37686875</v>
      </c>
      <c r="I13" s="4">
        <f t="shared" si="3"/>
        <v>297.29478124999997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v>60.411089279136007</v>
      </c>
      <c r="U13" s="4">
        <v>60.411089279136007</v>
      </c>
      <c r="W13" s="4">
        <v>297.29478124999997</v>
      </c>
      <c r="AG13" s="4">
        <f>IF(A13&lt;='Input&amp;Output'!$D$38,$K$8/'Input&amp;Output'!$D$38,0)</f>
        <v>21.9</v>
      </c>
      <c r="AH13" s="4">
        <v>60.411089279136007</v>
      </c>
      <c r="AK13" s="4">
        <f t="shared" si="4"/>
        <v>214.98369197086396</v>
      </c>
      <c r="AL13" s="4">
        <f>AK13*('Input&amp;Output'!$D$32/100)</f>
        <v>85.993476788345589</v>
      </c>
      <c r="AM13" s="8"/>
      <c r="AN13" s="5"/>
      <c r="AO13" s="4">
        <v>297.29478124999997</v>
      </c>
      <c r="AQ13" s="4">
        <v>60.411089279136007</v>
      </c>
      <c r="AR13" s="4">
        <v>85.993476788345589</v>
      </c>
      <c r="AS13" s="4">
        <f t="shared" si="0"/>
        <v>150.89021518251838</v>
      </c>
      <c r="AU13" s="4">
        <f>AS13/(1+'Input&amp;Output'!$D$33/100)^A13</f>
        <v>93.690952047809901</v>
      </c>
      <c r="AW13" s="4">
        <f t="shared" si="5"/>
        <v>656.00489348235828</v>
      </c>
      <c r="AX13" s="4">
        <f t="shared" si="1"/>
        <v>0</v>
      </c>
      <c r="AZ13" s="4">
        <f t="shared" si="2"/>
        <v>150.89021518251838</v>
      </c>
      <c r="BA13" s="4">
        <f t="shared" si="2"/>
        <v>60.639393318591814</v>
      </c>
      <c r="BB13" s="4">
        <f t="shared" si="2"/>
        <v>28.055686466672821</v>
      </c>
      <c r="BC13" s="4">
        <f t="shared" si="2"/>
        <v>14.390012281658009</v>
      </c>
      <c r="BD13" s="4">
        <f t="shared" si="2"/>
        <v>7.9854345110902774</v>
      </c>
      <c r="BE13" s="4">
        <f t="shared" si="2"/>
        <v>4.7153192244536992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'Input&amp;Output'!$D$30*C14</f>
        <v>112.97201687499998</v>
      </c>
      <c r="G14" s="4">
        <f>'Input&amp;Output'!$D$30*D14</f>
        <v>169.45802531249996</v>
      </c>
      <c r="I14" s="4">
        <f t="shared" si="3"/>
        <v>282.43004218749991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v>64.524282005803371</v>
      </c>
      <c r="U14" s="4">
        <v>64.524282005803371</v>
      </c>
      <c r="W14" s="4">
        <v>282.43004218749991</v>
      </c>
      <c r="AG14" s="4">
        <f>IF(A14&lt;='Input&amp;Output'!$D$38,$K$8/'Input&amp;Output'!$D$38,0)</f>
        <v>21.9</v>
      </c>
      <c r="AH14" s="4">
        <v>64.524282005803371</v>
      </c>
      <c r="AK14" s="4">
        <f t="shared" si="4"/>
        <v>196.00576018169653</v>
      </c>
      <c r="AL14" s="4">
        <f>AK14*('Input&amp;Output'!$D$32/100)</f>
        <v>78.402304072678618</v>
      </c>
      <c r="AM14" s="8"/>
      <c r="AN14" s="5"/>
      <c r="AO14" s="4">
        <v>282.43004218749991</v>
      </c>
      <c r="AQ14" s="4">
        <v>64.524282005803371</v>
      </c>
      <c r="AR14" s="4">
        <v>78.402304072678618</v>
      </c>
      <c r="AS14" s="4">
        <f t="shared" si="0"/>
        <v>139.50345610901792</v>
      </c>
      <c r="AU14" s="4">
        <f>AS14/(1+'Input&amp;Output'!$D$33/100)^A14</f>
        <v>78.746064125941956</v>
      </c>
      <c r="AW14" s="4">
        <f t="shared" si="5"/>
        <v>795.50834959137615</v>
      </c>
      <c r="AX14" s="4">
        <f t="shared" si="1"/>
        <v>0</v>
      </c>
      <c r="AZ14" s="4">
        <f t="shared" si="2"/>
        <v>139.50345610901792</v>
      </c>
      <c r="BA14" s="4">
        <f t="shared" si="2"/>
        <v>46.719425190830869</v>
      </c>
      <c r="BB14" s="4">
        <f t="shared" si="2"/>
        <v>18.527497060777449</v>
      </c>
      <c r="BC14" s="4">
        <f t="shared" si="2"/>
        <v>8.3150539463173061</v>
      </c>
      <c r="BD14" s="4">
        <f t="shared" si="2"/>
        <v>4.1015681923363161</v>
      </c>
      <c r="BE14" s="4">
        <f t="shared" si="2"/>
        <v>2.179741501703405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'Input&amp;Output'!$D$30*C15</f>
        <v>107.32341603124996</v>
      </c>
      <c r="G15" s="4">
        <f>'Input&amp;Output'!$D$30*D15</f>
        <v>160.98512404687494</v>
      </c>
      <c r="I15" s="4">
        <f t="shared" si="3"/>
        <v>268.30854007812491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v>68.926804653643131</v>
      </c>
      <c r="U15" s="4">
        <v>68.926804653643131</v>
      </c>
      <c r="W15" s="4">
        <v>268.30854007812491</v>
      </c>
      <c r="AG15" s="4">
        <f>IF(A15&lt;='Input&amp;Output'!$D$38,$K$8/'Input&amp;Output'!$D$38,0)</f>
        <v>21.9</v>
      </c>
      <c r="AH15" s="4">
        <v>68.926804653643131</v>
      </c>
      <c r="AK15" s="4">
        <f t="shared" si="4"/>
        <v>177.48173542448177</v>
      </c>
      <c r="AL15" s="4">
        <f>AK15*('Input&amp;Output'!$D$32/100)</f>
        <v>70.992694169792713</v>
      </c>
      <c r="AM15" s="8"/>
      <c r="AN15" s="5"/>
      <c r="AO15" s="4">
        <v>268.30854007812491</v>
      </c>
      <c r="AQ15" s="4">
        <v>68.926804653643131</v>
      </c>
      <c r="AR15" s="4">
        <v>70.992694169792713</v>
      </c>
      <c r="AS15" s="4">
        <f t="shared" si="0"/>
        <v>128.38904125468906</v>
      </c>
      <c r="AU15" s="4">
        <f>AS15/(1+'Input&amp;Output'!$D$33/100)^A15</f>
        <v>65.883878811700782</v>
      </c>
      <c r="AW15" s="4">
        <f t="shared" si="5"/>
        <v>923.89739084606526</v>
      </c>
      <c r="AX15" s="4">
        <f t="shared" si="1"/>
        <v>0</v>
      </c>
      <c r="AZ15" s="4">
        <f t="shared" si="2"/>
        <v>128.38904125468906</v>
      </c>
      <c r="BA15" s="4">
        <f t="shared" si="2"/>
        <v>35.831025120108109</v>
      </c>
      <c r="BB15" s="4">
        <f t="shared" si="2"/>
        <v>12.179562995523717</v>
      </c>
      <c r="BC15" s="4">
        <f t="shared" si="2"/>
        <v>4.7828644981491921</v>
      </c>
      <c r="BD15" s="4">
        <f t="shared" si="2"/>
        <v>2.0971061798691526</v>
      </c>
      <c r="BE15" s="4">
        <f t="shared" si="2"/>
        <v>1.0030393848022583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'Input&amp;Output'!$D$30*C16</f>
        <v>101.95724522968746</v>
      </c>
      <c r="G16" s="4">
        <f>'Input&amp;Output'!$D$30*D16</f>
        <v>152.93586784453117</v>
      </c>
      <c r="I16" s="4">
        <f t="shared" si="3"/>
        <v>254.89311307421863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v>73.63951174757122</v>
      </c>
      <c r="U16" s="4">
        <v>73.63951174757122</v>
      </c>
      <c r="W16" s="4">
        <v>254.89311307421863</v>
      </c>
      <c r="AG16" s="4">
        <f>IF(A16&lt;='Input&amp;Output'!$D$38,$K$8/'Input&amp;Output'!$D$38,0)</f>
        <v>21.9</v>
      </c>
      <c r="AH16" s="4">
        <v>73.63951174757122</v>
      </c>
      <c r="AK16" s="4">
        <f t="shared" si="4"/>
        <v>159.35360132664741</v>
      </c>
      <c r="AL16" s="4">
        <f>AK16*('Input&amp;Output'!$D$32/100)</f>
        <v>63.741440530658963</v>
      </c>
      <c r="AM16" s="8"/>
      <c r="AN16" s="5"/>
      <c r="AO16" s="4">
        <v>254.89311307421863</v>
      </c>
      <c r="AQ16" s="4">
        <v>73.63951174757122</v>
      </c>
      <c r="AR16" s="4">
        <v>63.741440530658963</v>
      </c>
      <c r="AS16" s="4">
        <f t="shared" si="0"/>
        <v>117.51216079598845</v>
      </c>
      <c r="AU16" s="4">
        <f>AS16/(1+'Input&amp;Output'!$D$33/100)^A16</f>
        <v>54.820290275721483</v>
      </c>
      <c r="AW16" s="4">
        <f t="shared" si="5"/>
        <v>1041.4095516420537</v>
      </c>
      <c r="AX16" s="4">
        <f t="shared" si="1"/>
        <v>0</v>
      </c>
      <c r="AZ16" s="4">
        <f t="shared" si="2"/>
        <v>117.51216079598845</v>
      </c>
      <c r="BA16" s="4">
        <f t="shared" si="2"/>
        <v>27.329572837442008</v>
      </c>
      <c r="BB16" s="4">
        <f t="shared" si="2"/>
        <v>7.9626665015727367</v>
      </c>
      <c r="BC16" s="4">
        <f t="shared" si="2"/>
        <v>2.7360432035286992</v>
      </c>
      <c r="BD16" s="4">
        <f t="shared" si="2"/>
        <v>1.0663573611317101</v>
      </c>
      <c r="BE16" s="4">
        <f t="shared" si="2"/>
        <v>0.45903187810932988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'Input&amp;Output'!$D$30*C17</f>
        <v>96.859382968203093</v>
      </c>
      <c r="G17" s="4">
        <f>'Input&amp;Output'!$D$30*D17</f>
        <v>145.28907445230462</v>
      </c>
      <c r="I17" s="4">
        <f t="shared" si="3"/>
        <v>242.14845742050773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v>78.684798950472654</v>
      </c>
      <c r="U17" s="4">
        <v>78.684798950472654</v>
      </c>
      <c r="W17" s="4">
        <v>242.14845742050773</v>
      </c>
      <c r="AG17" s="4">
        <f>IF(A17&lt;='Input&amp;Output'!$D$38,$K$8/'Input&amp;Output'!$D$38,0)</f>
        <v>21.9</v>
      </c>
      <c r="AH17" s="4">
        <v>78.684798950472654</v>
      </c>
      <c r="AK17" s="4">
        <f t="shared" si="4"/>
        <v>141.56365847003505</v>
      </c>
      <c r="AL17" s="4">
        <f>AK17*('Input&amp;Output'!$D$32/100)</f>
        <v>56.625463388014026</v>
      </c>
      <c r="AM17" s="8"/>
      <c r="AN17" s="5"/>
      <c r="AO17" s="4">
        <v>242.14845742050773</v>
      </c>
      <c r="AQ17" s="4">
        <v>78.684798950472654</v>
      </c>
      <c r="AR17" s="4">
        <v>56.625463388014026</v>
      </c>
      <c r="AS17" s="4">
        <f t="shared" si="0"/>
        <v>106.83819508202103</v>
      </c>
      <c r="AU17" s="4">
        <f>AS17/(1+'Input&amp;Output'!$D$33/100)^A17</f>
        <v>45.309824085500026</v>
      </c>
      <c r="AW17" s="4">
        <f t="shared" si="5"/>
        <v>1148.2477467240747</v>
      </c>
      <c r="AX17" s="4">
        <f t="shared" si="1"/>
        <v>0</v>
      </c>
      <c r="AZ17" s="4">
        <f t="shared" si="2"/>
        <v>106.83819508202103</v>
      </c>
      <c r="BA17" s="4">
        <f t="shared" si="2"/>
        <v>20.705957965945029</v>
      </c>
      <c r="BB17" s="4">
        <f t="shared" si="2"/>
        <v>5.1709962326186227</v>
      </c>
      <c r="BC17" s="4">
        <f t="shared" si="2"/>
        <v>1.5547003579852889</v>
      </c>
      <c r="BD17" s="4">
        <f t="shared" si="2"/>
        <v>0.53860948425361221</v>
      </c>
      <c r="BE17" s="4">
        <f t="shared" si="2"/>
        <v>0.20866834976957233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'Input&amp;Output'!$D$30*C18</f>
        <v>92.01641381979293</v>
      </c>
      <c r="G18" s="4">
        <f>'Input&amp;Output'!$D$30*D18</f>
        <v>138.02462072968939</v>
      </c>
      <c r="I18" s="4">
        <f t="shared" si="3"/>
        <v>230.04103454948233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v>84.086720169074482</v>
      </c>
      <c r="U18" s="4">
        <v>84.086720169074482</v>
      </c>
      <c r="W18" s="4">
        <v>230.04103454948233</v>
      </c>
      <c r="AG18" s="4">
        <f>IF(A18&lt;='Input&amp;Output'!$D$38,$K$8/'Input&amp;Output'!$D$38,0)</f>
        <v>21.9</v>
      </c>
      <c r="AH18" s="4">
        <v>84.086720169074482</v>
      </c>
      <c r="AK18" s="4">
        <f t="shared" si="4"/>
        <v>124.05431438040785</v>
      </c>
      <c r="AL18" s="4">
        <f>AK18*('Input&amp;Output'!$D$32/100)</f>
        <v>49.621725752163144</v>
      </c>
      <c r="AM18" s="8"/>
      <c r="AN18" s="5"/>
      <c r="AO18" s="4">
        <v>230.04103454948233</v>
      </c>
      <c r="AQ18" s="4">
        <v>84.086720169074482</v>
      </c>
      <c r="AR18" s="4">
        <v>49.621725752163144</v>
      </c>
      <c r="AS18" s="4">
        <f t="shared" si="0"/>
        <v>96.332588628244707</v>
      </c>
      <c r="AU18" s="4">
        <f>AS18/(1+'Input&amp;Output'!$D$33/100)^A18</f>
        <v>37.140383098995343</v>
      </c>
      <c r="AW18" s="4">
        <f t="shared" si="5"/>
        <v>1244.5803353523193</v>
      </c>
      <c r="AX18" s="4">
        <f t="shared" si="1"/>
        <v>0</v>
      </c>
      <c r="AZ18" s="4">
        <f t="shared" si="2"/>
        <v>96.332588628244707</v>
      </c>
      <c r="BA18" s="4">
        <f t="shared" si="2"/>
        <v>15.558250877692387</v>
      </c>
      <c r="BB18" s="4">
        <f t="shared" si="2"/>
        <v>3.3303729765814025</v>
      </c>
      <c r="BC18" s="4">
        <f t="shared" si="2"/>
        <v>0.87613978965459505</v>
      </c>
      <c r="BD18" s="4">
        <f t="shared" si="2"/>
        <v>0.26980387303353137</v>
      </c>
      <c r="BE18" s="4">
        <f t="shared" si="2"/>
        <v>9.4074793582270222E-2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'Input&amp;Output'!$D$30*C19</f>
        <v>87.41559312880328</v>
      </c>
      <c r="G19" s="4">
        <f>'Input&amp;Output'!$D$30*D19</f>
        <v>131.12338969320493</v>
      </c>
      <c r="I19" s="4">
        <f t="shared" si="3"/>
        <v>218.53898282200822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v>89.871113839195871</v>
      </c>
      <c r="U19" s="4">
        <v>89.871113839195871</v>
      </c>
      <c r="W19" s="4">
        <v>218.53898282200822</v>
      </c>
      <c r="AG19" s="4">
        <f>IF(A19&lt;='Input&amp;Output'!$D$38,$K$8/'Input&amp;Output'!$D$38,0)</f>
        <v>0</v>
      </c>
      <c r="AH19" s="4">
        <v>89.871113839195871</v>
      </c>
      <c r="AK19" s="4">
        <f t="shared" si="4"/>
        <v>128.66786898281237</v>
      </c>
      <c r="AL19" s="4">
        <f>AK19*('Input&amp;Output'!$D$32/100)</f>
        <v>51.467147593124949</v>
      </c>
      <c r="AM19" s="8"/>
      <c r="AN19" s="5"/>
      <c r="AO19" s="4">
        <v>218.53898282200822</v>
      </c>
      <c r="AQ19" s="4">
        <v>89.871113839195871</v>
      </c>
      <c r="AR19" s="4">
        <v>51.467147593124949</v>
      </c>
      <c r="AS19" s="4">
        <f t="shared" si="0"/>
        <v>77.200721389687416</v>
      </c>
      <c r="AU19" s="4">
        <f>AS19/(1+'Input&amp;Output'!$D$33/100)^A19</f>
        <v>27.058381882648067</v>
      </c>
      <c r="AW19" s="4">
        <f t="shared" si="5"/>
        <v>1321.7810567420067</v>
      </c>
      <c r="AX19" s="4">
        <f t="shared" si="1"/>
        <v>0</v>
      </c>
      <c r="AZ19" s="4">
        <f t="shared" si="2"/>
        <v>77.200721389687416</v>
      </c>
      <c r="BA19" s="4">
        <f t="shared" si="2"/>
        <v>10.390289589631708</v>
      </c>
      <c r="BB19" s="4">
        <f t="shared" si="2"/>
        <v>1.9063953327140297</v>
      </c>
      <c r="BC19" s="4">
        <f t="shared" si="2"/>
        <v>0.43883529423105377</v>
      </c>
      <c r="BD19" s="4">
        <f t="shared" si="2"/>
        <v>0.1201223451685082</v>
      </c>
      <c r="BE19" s="4">
        <f t="shared" si="2"/>
        <v>3.7695664741058309E-2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'Input&amp;Output'!$D$30*C20</f>
        <v>83.044813472363117</v>
      </c>
      <c r="G20" s="4">
        <f>'Input&amp;Output'!$D$30*D20</f>
        <v>124.56722020854468</v>
      </c>
      <c r="I20" s="4">
        <f t="shared" si="3"/>
        <v>207.61203368090781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v>96.065739134419545</v>
      </c>
      <c r="U20" s="4">
        <v>96.065739134419545</v>
      </c>
      <c r="W20" s="4">
        <v>207.61203368090781</v>
      </c>
      <c r="AG20" s="4">
        <f>IF(A20&lt;='Input&amp;Output'!$D$38,$K$8/'Input&amp;Output'!$D$38,0)</f>
        <v>0</v>
      </c>
      <c r="AH20" s="4">
        <v>96.065739134419545</v>
      </c>
      <c r="AK20" s="4">
        <f t="shared" si="4"/>
        <v>111.54629454648827</v>
      </c>
      <c r="AL20" s="4">
        <f>AK20*('Input&amp;Output'!$D$32/100)</f>
        <v>44.618517818595308</v>
      </c>
      <c r="AM20" s="8"/>
      <c r="AN20" s="5"/>
      <c r="AO20" s="4">
        <v>207.61203368090781</v>
      </c>
      <c r="AQ20" s="4">
        <v>96.065739134419545</v>
      </c>
      <c r="AR20" s="4">
        <v>44.618517818595308</v>
      </c>
      <c r="AS20" s="4">
        <f t="shared" si="0"/>
        <v>66.927776727892962</v>
      </c>
      <c r="AU20" s="4">
        <f>AS20/(1+'Input&amp;Output'!$D$33/100)^A20</f>
        <v>21.325252226344706</v>
      </c>
      <c r="AW20" s="4">
        <f t="shared" si="5"/>
        <v>1388.7088334698997</v>
      </c>
      <c r="AX20" s="4">
        <f t="shared" si="1"/>
        <v>0</v>
      </c>
      <c r="AZ20" s="4">
        <f t="shared" si="2"/>
        <v>66.927776727892962</v>
      </c>
      <c r="BA20" s="4">
        <f t="shared" si="2"/>
        <v>7.5063955499720878</v>
      </c>
      <c r="BB20" s="4">
        <f t="shared" si="2"/>
        <v>1.1805108154267436</v>
      </c>
      <c r="BC20" s="4">
        <f t="shared" si="2"/>
        <v>0.23777522787289082</v>
      </c>
      <c r="BD20" s="4">
        <f t="shared" si="2"/>
        <v>5.7854392439961627E-2</v>
      </c>
      <c r="BE20" s="4">
        <f t="shared" si="2"/>
        <v>1.6339789240208243E-2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'Input&amp;Output'!$D$30*C21</f>
        <v>78.892572798744965</v>
      </c>
      <c r="G21" s="4">
        <f>'Input&amp;Output'!$D$30*D21</f>
        <v>118.33885919811743</v>
      </c>
      <c r="I21" s="4">
        <f t="shared" si="3"/>
        <v>197.2314319968624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v>102.70042290464741</v>
      </c>
      <c r="U21" s="4">
        <v>102.70042290464741</v>
      </c>
      <c r="W21" s="4">
        <v>197.2314319968624</v>
      </c>
      <c r="AG21" s="4">
        <f>IF(A21&lt;='Input&amp;Output'!$D$38,$K$8/'Input&amp;Output'!$D$38,0)</f>
        <v>0</v>
      </c>
      <c r="AH21" s="4">
        <v>102.70042290464741</v>
      </c>
      <c r="AK21" s="4">
        <f t="shared" si="4"/>
        <v>94.531009092214987</v>
      </c>
      <c r="AL21" s="4">
        <f>AK21*('Input&amp;Output'!$D$32/100)</f>
        <v>37.812403636885996</v>
      </c>
      <c r="AM21" s="8"/>
      <c r="AN21" s="5"/>
      <c r="AO21" s="4">
        <v>197.2314319968624</v>
      </c>
      <c r="AQ21" s="4">
        <v>102.70042290464741</v>
      </c>
      <c r="AR21" s="4">
        <v>37.812403636885996</v>
      </c>
      <c r="AS21" s="4">
        <f t="shared" si="0"/>
        <v>56.718605455328991</v>
      </c>
      <c r="AU21" s="4">
        <f>AS21/(1+'Input&amp;Output'!$D$33/100)^A21</f>
        <v>16.429359668747786</v>
      </c>
      <c r="AW21" s="4">
        <f t="shared" si="5"/>
        <v>1445.4274389252287</v>
      </c>
      <c r="AX21" s="4">
        <f t="shared" si="1"/>
        <v>0</v>
      </c>
      <c r="AZ21" s="4">
        <f t="shared" si="2"/>
        <v>56.718605455328991</v>
      </c>
      <c r="BA21" s="4">
        <f t="shared" si="2"/>
        <v>5.301140876598434</v>
      </c>
      <c r="BB21" s="4">
        <f t="shared" si="2"/>
        <v>0.71459682201439889</v>
      </c>
      <c r="BC21" s="4">
        <f t="shared" si="2"/>
        <v>0.12594060340227234</v>
      </c>
      <c r="BD21" s="4">
        <f t="shared" si="2"/>
        <v>2.7238486844318455E-2</v>
      </c>
      <c r="BE21" s="4">
        <f t="shared" si="2"/>
        <v>6.9236578924962147E-3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'Input&amp;Output'!$D$30*C22</f>
        <v>74.947944158807701</v>
      </c>
      <c r="G22" s="4">
        <f>'Input&amp;Output'!$D$30*D22</f>
        <v>112.42191623821157</v>
      </c>
      <c r="I22" s="4">
        <f t="shared" si="3"/>
        <v>187.36986039701927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v>109.80721821883162</v>
      </c>
      <c r="U22" s="4">
        <v>109.80721821883162</v>
      </c>
      <c r="W22" s="4">
        <v>187.36986039701927</v>
      </c>
      <c r="AG22" s="4">
        <f>IF(A22&lt;='Input&amp;Output'!$D$38,$K$8/'Input&amp;Output'!$D$38,0)</f>
        <v>0</v>
      </c>
      <c r="AH22" s="4">
        <v>109.80721821883162</v>
      </c>
      <c r="AK22" s="4">
        <f t="shared" si="4"/>
        <v>77.562642178187645</v>
      </c>
      <c r="AL22" s="4">
        <f>AK22*('Input&amp;Output'!$D$32/100)</f>
        <v>31.025056871275059</v>
      </c>
      <c r="AM22" s="8"/>
      <c r="AN22" s="5"/>
      <c r="AO22" s="4">
        <v>187.36986039701927</v>
      </c>
      <c r="AQ22" s="4">
        <v>109.80721821883162</v>
      </c>
      <c r="AR22" s="4">
        <v>31.025056871275059</v>
      </c>
      <c r="AS22" s="4">
        <f t="shared" si="0"/>
        <v>46.53758530691259</v>
      </c>
      <c r="AU22" s="4">
        <f>AS22/(1+'Input&amp;Output'!$D$33/100)^A22</f>
        <v>12.25480071124548</v>
      </c>
      <c r="AW22" s="4">
        <f t="shared" si="5"/>
        <v>1491.9650242321413</v>
      </c>
      <c r="AX22" s="4">
        <f t="shared" si="1"/>
        <v>0</v>
      </c>
      <c r="AZ22" s="4">
        <f t="shared" si="2"/>
        <v>46.53758530691259</v>
      </c>
      <c r="BA22" s="4">
        <f t="shared" si="2"/>
        <v>3.6246527012340084</v>
      </c>
      <c r="BB22" s="4">
        <f t="shared" si="2"/>
        <v>0.41880450613002251</v>
      </c>
      <c r="BC22" s="4">
        <f t="shared" si="2"/>
        <v>6.4583873397739577E-2</v>
      </c>
      <c r="BD22" s="4">
        <f t="shared" si="2"/>
        <v>1.2416202124040097E-2</v>
      </c>
      <c r="BE22" s="4">
        <f t="shared" si="2"/>
        <v>2.8404287907051141E-3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'Input&amp;Output'!$D$30*C23</f>
        <v>71.20054695086732</v>
      </c>
      <c r="G23" s="4">
        <f>'Input&amp;Output'!$D$30*D23</f>
        <v>106.80082042630097</v>
      </c>
      <c r="I23" s="4">
        <f t="shared" si="3"/>
        <v>178.00136737716829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v>117.42057545990087</v>
      </c>
      <c r="U23" s="4">
        <v>117.42057545990087</v>
      </c>
      <c r="W23" s="4">
        <v>178.00136737716829</v>
      </c>
      <c r="AG23" s="4">
        <f>IF(A23&lt;='Input&amp;Output'!$D$38,$K$8/'Input&amp;Output'!$D$38,0)</f>
        <v>0</v>
      </c>
      <c r="AH23" s="4">
        <v>117.42057545990087</v>
      </c>
      <c r="AK23" s="4">
        <f t="shared" si="4"/>
        <v>60.580791917267419</v>
      </c>
      <c r="AL23" s="4">
        <f>AK23*('Input&amp;Output'!$D$32/100)</f>
        <v>24.232316766906969</v>
      </c>
      <c r="AM23" s="8"/>
      <c r="AN23" s="5"/>
      <c r="AO23" s="4">
        <v>178.00136737716829</v>
      </c>
      <c r="AQ23" s="4">
        <v>117.42057545990087</v>
      </c>
      <c r="AR23" s="4">
        <v>24.232316766906969</v>
      </c>
      <c r="AS23" s="4">
        <f t="shared" si="0"/>
        <v>36.34847515036045</v>
      </c>
      <c r="AU23" s="4">
        <f>AS23/(1+'Input&amp;Output'!$D$33/100)^A23</f>
        <v>8.7015359576888986</v>
      </c>
      <c r="AW23" s="4">
        <f t="shared" si="5"/>
        <v>1528.3134993825017</v>
      </c>
      <c r="AX23" s="4">
        <f t="shared" si="1"/>
        <v>0</v>
      </c>
      <c r="AZ23" s="4">
        <f t="shared" si="2"/>
        <v>36.34847515036045</v>
      </c>
      <c r="BA23" s="4">
        <f t="shared" si="2"/>
        <v>2.359214918626237</v>
      </c>
      <c r="BB23" s="4">
        <f t="shared" si="2"/>
        <v>0.23364993329787645</v>
      </c>
      <c r="BC23" s="4">
        <f t="shared" si="2"/>
        <v>3.1527276579644888E-2</v>
      </c>
      <c r="BD23" s="4">
        <f t="shared" si="2"/>
        <v>5.3876406372655753E-3</v>
      </c>
      <c r="BE23" s="4">
        <f t="shared" si="2"/>
        <v>1.1092674301257462E-3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'Input&amp;Output'!$D$30*C24</f>
        <v>67.640519603323952</v>
      </c>
      <c r="G24" s="4">
        <f>'Input&amp;Output'!$D$30*D24</f>
        <v>101.46077940498593</v>
      </c>
      <c r="I24" s="4">
        <f t="shared" si="3"/>
        <v>169.10129900830987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v>125.57752700005267</v>
      </c>
      <c r="U24" s="4">
        <v>125.57752700005267</v>
      </c>
      <c r="W24" s="4">
        <v>169.10129900830987</v>
      </c>
      <c r="AG24" s="4">
        <f>IF(A24&lt;='Input&amp;Output'!$D$38,$K$8/'Input&amp;Output'!$D$38,0)</f>
        <v>0</v>
      </c>
      <c r="AH24" s="4">
        <v>125.57752700005267</v>
      </c>
      <c r="AK24" s="4">
        <f t="shared" si="4"/>
        <v>43.523772008257197</v>
      </c>
      <c r="AL24" s="4">
        <f>AK24*('Input&amp;Output'!$D$32/100)</f>
        <v>17.409508803302881</v>
      </c>
      <c r="AM24" s="8"/>
      <c r="AN24" s="5"/>
      <c r="AO24" s="4">
        <v>169.10129900830987</v>
      </c>
      <c r="AQ24" s="4">
        <v>125.57752700005267</v>
      </c>
      <c r="AR24" s="4">
        <v>17.409508803302881</v>
      </c>
      <c r="AS24" s="4">
        <f t="shared" si="0"/>
        <v>26.114263204954316</v>
      </c>
      <c r="AU24" s="4">
        <f>AS24/(1+'Input&amp;Output'!$D$33/100)^A24</f>
        <v>5.6832245330906828</v>
      </c>
      <c r="AW24" s="4">
        <f t="shared" si="5"/>
        <v>1554.4277625874561</v>
      </c>
      <c r="AX24" s="4">
        <f t="shared" si="1"/>
        <v>0</v>
      </c>
      <c r="AZ24" s="4">
        <f t="shared" si="2"/>
        <v>26.114263204954316</v>
      </c>
      <c r="BA24" s="4">
        <f t="shared" si="2"/>
        <v>1.4124654722379621</v>
      </c>
      <c r="BB24" s="4">
        <f t="shared" si="2"/>
        <v>0.11990276720630109</v>
      </c>
      <c r="BC24" s="4">
        <f t="shared" si="2"/>
        <v>1.4156570449834847E-2</v>
      </c>
      <c r="BD24" s="4">
        <f t="shared" si="2"/>
        <v>2.1503922955847664E-3</v>
      </c>
      <c r="BE24" s="4">
        <f t="shared" si="2"/>
        <v>3.9847203376700311E-4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'Input&amp;Output'!$D$30*C25</f>
        <v>64.258493623157747</v>
      </c>
      <c r="G25" s="4">
        <f>'Input&amp;Output'!$D$30*D25</f>
        <v>96.387740434736614</v>
      </c>
      <c r="I25" s="4">
        <f t="shared" si="3"/>
        <v>160.64623405789436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v>134.31788657173794</v>
      </c>
      <c r="U25" s="4">
        <v>134.31788657173794</v>
      </c>
      <c r="W25" s="4">
        <v>160.64623405789436</v>
      </c>
      <c r="AG25" s="4">
        <f>IF(A25&lt;='Input&amp;Output'!$D$38,$K$8/'Input&amp;Output'!$D$38,0)</f>
        <v>0</v>
      </c>
      <c r="AH25" s="4">
        <v>134.31788657173794</v>
      </c>
      <c r="AK25" s="4">
        <f t="shared" si="4"/>
        <v>26.328347486156417</v>
      </c>
      <c r="AL25" s="4">
        <f>AK25*('Input&amp;Output'!$D$32/100)</f>
        <v>10.531338994462567</v>
      </c>
      <c r="AM25" s="8"/>
      <c r="AN25" s="5"/>
      <c r="AO25" s="4">
        <v>160.64623405789436</v>
      </c>
      <c r="AQ25" s="4">
        <v>134.31788657173794</v>
      </c>
      <c r="AR25" s="4">
        <v>10.531338994462567</v>
      </c>
      <c r="AS25" s="4">
        <f t="shared" si="0"/>
        <v>15.79700849169385</v>
      </c>
      <c r="AU25" s="4">
        <f>AS25/(1+'Input&amp;Output'!$D$33/100)^A25</f>
        <v>3.1253539146517912</v>
      </c>
      <c r="AW25" s="4">
        <f t="shared" si="5"/>
        <v>1570.2247710791498</v>
      </c>
      <c r="AX25" s="4">
        <f t="shared" si="1"/>
        <v>0</v>
      </c>
      <c r="AZ25" s="4">
        <f t="shared" si="2"/>
        <v>15.79700849169385</v>
      </c>
      <c r="BA25" s="4">
        <f t="shared" si="2"/>
        <v>0.71202241995906512</v>
      </c>
      <c r="BB25" s="4">
        <f t="shared" si="2"/>
        <v>5.1808169156719847E-2</v>
      </c>
      <c r="BC25" s="4">
        <f t="shared" si="2"/>
        <v>5.3522346642082509E-3</v>
      </c>
      <c r="BD25" s="4">
        <f t="shared" si="2"/>
        <v>7.2267372489590606E-4</v>
      </c>
      <c r="BE25" s="4">
        <f t="shared" si="2"/>
        <v>1.2052161019663887E-4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'Input&amp;Output'!$D$30*C26</f>
        <v>61.045568941999861</v>
      </c>
      <c r="G26" s="4">
        <f>'Input&amp;Output'!$D$30*D26</f>
        <v>91.568353412999798</v>
      </c>
      <c r="I26" s="4">
        <f t="shared" si="3"/>
        <v>152.61392235499966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v>143.68446454444995</v>
      </c>
      <c r="U26" s="4">
        <v>143.68446454444995</v>
      </c>
      <c r="W26" s="4">
        <v>152.61392235499966</v>
      </c>
      <c r="AG26" s="4">
        <f>IF(A26&lt;='Input&amp;Output'!$D$38,$K$8/'Input&amp;Output'!$D$38,0)</f>
        <v>0</v>
      </c>
      <c r="AH26" s="4">
        <v>143.68446454444995</v>
      </c>
      <c r="AK26" s="4">
        <f t="shared" si="4"/>
        <v>8.9294578105497067</v>
      </c>
      <c r="AL26" s="4">
        <f>AK26*('Input&amp;Output'!$D$32/100)</f>
        <v>3.5717831242198828</v>
      </c>
      <c r="AM26" s="8"/>
      <c r="AN26" s="5"/>
      <c r="AO26" s="4">
        <v>152.61392235499966</v>
      </c>
      <c r="AQ26" s="4">
        <v>143.68446454444995</v>
      </c>
      <c r="AR26" s="4">
        <v>3.5717831242198828</v>
      </c>
      <c r="AS26" s="4">
        <f t="shared" si="0"/>
        <v>5.3576746863298244</v>
      </c>
      <c r="AU26" s="4">
        <f>AS26/(1+'Input&amp;Output'!$D$33/100)^A26</f>
        <v>0.96362488581050798</v>
      </c>
      <c r="AW26" s="4">
        <f t="shared" si="5"/>
        <v>1575.5824457654796</v>
      </c>
      <c r="AX26" s="4">
        <f t="shared" si="1"/>
        <v>0</v>
      </c>
      <c r="AZ26" s="4">
        <f t="shared" si="2"/>
        <v>5.3576746863298244</v>
      </c>
      <c r="BA26" s="4">
        <f t="shared" si="2"/>
        <v>0.20123981583389772</v>
      </c>
      <c r="BB26" s="4">
        <f t="shared" si="2"/>
        <v>1.2550808346403052E-2</v>
      </c>
      <c r="BC26" s="4">
        <f t="shared" si="2"/>
        <v>1.1345317449979256E-3</v>
      </c>
      <c r="BD26" s="4">
        <f t="shared" si="2"/>
        <v>1.3616680526661878E-4</v>
      </c>
      <c r="BE26" s="4">
        <f t="shared" si="2"/>
        <v>2.0437906976050661E-5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'Input&amp;Output'!$D$30*C27</f>
        <v>57.993290494899867</v>
      </c>
      <c r="G27" s="4">
        <f>'Input&amp;Output'!$D$30*D27</f>
        <v>86.989935742349786</v>
      </c>
      <c r="I27" s="4">
        <f t="shared" si="3"/>
        <v>144.98322623724965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v>153.72330042053716</v>
      </c>
      <c r="U27" s="4">
        <v>153.72330042053716</v>
      </c>
      <c r="W27" s="4">
        <v>144.98322623724965</v>
      </c>
      <c r="AG27" s="4">
        <f>IF(A27&lt;='Input&amp;Output'!$D$38,$K$8/'Input&amp;Output'!$D$38,0)</f>
        <v>0</v>
      </c>
      <c r="AH27" s="4">
        <v>153.72330042053716</v>
      </c>
      <c r="AK27" s="4">
        <f t="shared" si="4"/>
        <v>0</v>
      </c>
      <c r="AL27" s="4">
        <f>AK27*('Input&amp;Output'!$D$32/100)</f>
        <v>0</v>
      </c>
      <c r="AM27" s="8"/>
      <c r="AN27" s="5"/>
      <c r="AO27" s="4">
        <v>144.98322623724965</v>
      </c>
      <c r="AQ27" s="4">
        <v>153.72330042053716</v>
      </c>
      <c r="AR27" s="4">
        <v>0</v>
      </c>
      <c r="AS27" s="4">
        <f t="shared" si="0"/>
        <v>-8.7400741832875042</v>
      </c>
      <c r="AU27" s="4">
        <f>AS27/(1+'Input&amp;Output'!$D$33/100)^A27</f>
        <v>-1.4290719693844081</v>
      </c>
      <c r="AW27" s="4">
        <f t="shared" si="5"/>
        <v>1566.8423715821921</v>
      </c>
      <c r="AX27" s="4">
        <f t="shared" si="1"/>
        <v>0</v>
      </c>
      <c r="AZ27" s="4">
        <f t="shared" si="2"/>
        <v>-8.7400741832875042</v>
      </c>
      <c r="BA27" s="4">
        <f t="shared" si="2"/>
        <v>-0.27357187305951841</v>
      </c>
      <c r="BB27" s="4">
        <f t="shared" si="2"/>
        <v>-1.4624547618934497E-2</v>
      </c>
      <c r="BC27" s="4">
        <f t="shared" si="2"/>
        <v>-1.1567391866705034E-3</v>
      </c>
      <c r="BD27" s="4">
        <f t="shared" si="2"/>
        <v>-1.2340635412515883E-4</v>
      </c>
      <c r="BE27" s="4">
        <f t="shared" si="2"/>
        <v>-1.6670368544173249E-5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'Input&amp;Output'!$D$30*C28</f>
        <v>55.093625970154875</v>
      </c>
      <c r="G28" s="4">
        <f>'Input&amp;Output'!$D$30*D28</f>
        <v>82.640438955232312</v>
      </c>
      <c r="H28" s="11"/>
      <c r="I28" s="4">
        <f t="shared" si="3"/>
        <v>137.7340649253872</v>
      </c>
      <c r="M28" s="11">
        <v>1.4859473959783542</v>
      </c>
      <c r="N28" s="11">
        <v>7.9598931154332622</v>
      </c>
      <c r="O28" s="11">
        <v>16.035677361064241</v>
      </c>
      <c r="P28" s="11">
        <v>0.43926841438126812</v>
      </c>
      <c r="Q28" s="11">
        <v>14.733224889023084</v>
      </c>
      <c r="R28" s="11">
        <v>7.739368924972359</v>
      </c>
      <c r="S28" s="11">
        <v>116.09053387458539</v>
      </c>
      <c r="T28" s="11">
        <v>164.48391397543796</v>
      </c>
      <c r="U28" s="11">
        <v>164.48391397543796</v>
      </c>
      <c r="W28" s="11">
        <v>137.7340649253872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4"/>
        <v>0</v>
      </c>
      <c r="AL28" s="4">
        <f>AK28*('Input&amp;Output'!$D$32/100)</f>
        <v>0</v>
      </c>
      <c r="AM28" s="18"/>
      <c r="AN28" s="5"/>
      <c r="AO28" s="11">
        <v>137.7340649253872</v>
      </c>
      <c r="AP28" s="11"/>
      <c r="AQ28" s="11">
        <v>164.48391397543796</v>
      </c>
      <c r="AR28" s="11">
        <v>0</v>
      </c>
      <c r="AS28" s="4">
        <f t="shared" si="0"/>
        <v>-26.749849050050756</v>
      </c>
      <c r="AU28" s="4">
        <f>AS28/(1+'Input&amp;Output'!$D$33/100)^A28</f>
        <v>-3.9761946118977325</v>
      </c>
      <c r="AV28" s="14"/>
      <c r="AW28" s="4">
        <f t="shared" si="5"/>
        <v>1540.0925225321414</v>
      </c>
      <c r="AX28" s="4">
        <f t="shared" si="1"/>
        <v>0</v>
      </c>
      <c r="AZ28" s="4">
        <f t="shared" si="2"/>
        <v>-26.749849050050756</v>
      </c>
      <c r="BA28" s="4">
        <f t="shared" si="2"/>
        <v>-0.69774448851122894</v>
      </c>
      <c r="BB28" s="4">
        <f t="shared" si="2"/>
        <v>-3.1971324027352567E-2</v>
      </c>
      <c r="BC28" s="4">
        <f t="shared" si="2"/>
        <v>-2.2126956522921962E-3</v>
      </c>
      <c r="BD28" s="4">
        <f t="shared" si="2"/>
        <v>-2.0983176492797136E-4</v>
      </c>
      <c r="BE28" s="4">
        <f t="shared" si="2"/>
        <v>-2.551064400677753E-5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2809.8316598505835</v>
      </c>
      <c r="I30" s="12">
        <f>SUM(I9:I29)</f>
        <v>4683.0527664176398</v>
      </c>
      <c r="M30" s="12">
        <f t="shared" ref="M30:W30" si="6">SUM(M9:M29)</f>
        <v>24.783317194896075</v>
      </c>
      <c r="N30" s="12">
        <f>SUM(N9:N29)</f>
        <v>104.15775542409848</v>
      </c>
      <c r="O30" s="12">
        <f t="shared" si="6"/>
        <v>194.9636333788014</v>
      </c>
      <c r="P30" s="12">
        <f t="shared" si="6"/>
        <v>8.0061098525080752</v>
      </c>
      <c r="Q30" s="12">
        <f t="shared" si="6"/>
        <v>137.97547377925386</v>
      </c>
      <c r="R30" s="12">
        <f t="shared" si="6"/>
        <v>87.730353567434619</v>
      </c>
      <c r="S30" s="12">
        <f t="shared" si="6"/>
        <v>1315.9553035115193</v>
      </c>
      <c r="U30" s="12">
        <f t="shared" si="6"/>
        <v>1873.5719467085121</v>
      </c>
      <c r="W30" s="12">
        <f t="shared" si="6"/>
        <v>4683.0527664176398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2625.9707429424661</v>
      </c>
      <c r="AL30" s="12">
        <f>SUM(AL9:AL29)</f>
        <v>1050.3882971769867</v>
      </c>
      <c r="AM30" s="19" t="s">
        <v>82</v>
      </c>
      <c r="AO30" s="12">
        <f>SUM(AO8:AO29)</f>
        <v>4683.0527664176398</v>
      </c>
      <c r="AP30" s="12">
        <f>SUM(AP8:AP29)</f>
        <v>219</v>
      </c>
      <c r="AQ30" s="12">
        <f>SUM(AQ8:AQ29)</f>
        <v>1873.5719467085121</v>
      </c>
      <c r="AR30" s="12">
        <f>SUM(AR8:AR29)</f>
        <v>1050.3882971769867</v>
      </c>
      <c r="AS30" s="12">
        <f>SUM(AS8:AS29)</f>
        <v>1540.0925225321414</v>
      </c>
      <c r="AU30" s="15">
        <f>SUM(AU8:AU29)</f>
        <v>825.24822815922471</v>
      </c>
      <c r="AX30" s="16">
        <f>SUM(AX8:AX29)</f>
        <v>1.1022762750671766</v>
      </c>
      <c r="AZ30" s="12">
        <f t="shared" ref="AZ30:BE30" si="7">SUM(AZ8:AZ29)</f>
        <v>1540.0925225321414</v>
      </c>
      <c r="BA30" s="12">
        <f t="shared" si="7"/>
        <v>494.22707087600321</v>
      </c>
      <c r="BB30" s="12">
        <f t="shared" si="7"/>
        <v>204.97031595929172</v>
      </c>
      <c r="BC30" s="12">
        <f t="shared" si="7"/>
        <v>79.99219993043144</v>
      </c>
      <c r="BD30" s="12">
        <f t="shared" si="7"/>
        <v>11.481280850100811</v>
      </c>
      <c r="BE30" s="12">
        <f t="shared" si="7"/>
        <v>-31.590734366206512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825.24822815922471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0.84565702912404195</v>
      </c>
    </row>
    <row r="34" spans="45:48" ht="12" customHeight="1" thickBot="1" x14ac:dyDescent="0.25">
      <c r="AS34" s="75" t="s">
        <v>136</v>
      </c>
      <c r="AT34" s="76"/>
      <c r="AU34" s="77">
        <f>AX30</f>
        <v>1.1022762750671766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3.7682567495855008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A89C-9A33-49CF-9088-F70E7467C567}">
  <dimension ref="A1:BM35"/>
  <sheetViews>
    <sheetView topLeftCell="B5" workbookViewId="0">
      <selection activeCell="AW13" sqref="AW13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'Cash Flow'!M8:S8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'Input&amp;Output'!$D$30*C9</f>
        <v>146</v>
      </c>
      <c r="G9" s="4">
        <f>'Input&amp;Output'!$D$30*D9</f>
        <v>219</v>
      </c>
      <c r="I9" s="4">
        <f>SUM(F9:G9)</f>
        <v>365</v>
      </c>
      <c r="M9" s="4" cm="1">
        <f t="array" ref="M9:U28">'Cash Flow'!M9:U28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v>46.482600000000005</v>
      </c>
      <c r="U9" s="4">
        <v>46.482600000000005</v>
      </c>
      <c r="W9" s="4" cm="1">
        <f t="array" ref="W9:W28">I9:I28</f>
        <v>365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296.61740000000003</v>
      </c>
      <c r="AL9" s="4">
        <f>AK9*('Input&amp;Output'!$D$32/100)</f>
        <v>118.64696000000002</v>
      </c>
      <c r="AM9" s="8"/>
      <c r="AN9" s="5"/>
      <c r="AO9" s="4" cm="1">
        <f t="array" ref="AO9:AO28">W9:W28</f>
        <v>365</v>
      </c>
      <c r="AQ9" s="4" cm="1">
        <f t="array" ref="AQ9:AQ28">AH9:AH28</f>
        <v>46.482600000000005</v>
      </c>
      <c r="AR9" s="4" cm="1">
        <f t="array" ref="AR9:AR28">AL9:AL28</f>
        <v>118.64696000000002</v>
      </c>
      <c r="AS9" s="4">
        <f t="shared" ref="AS9:AS28" si="0">AO9-AP9-AQ9-AR9</f>
        <v>199.87043999999997</v>
      </c>
      <c r="AU9" s="4">
        <f>AS9/(1+'Input&amp;Output'!$D$33/100)^A9</f>
        <v>181.70039999999997</v>
      </c>
      <c r="AW9" s="4">
        <f>AW8+AS9</f>
        <v>-19.129560000000026</v>
      </c>
      <c r="AX9" s="4">
        <f t="shared" ref="AX9:AX28" si="1">IF(AND(AW9&gt;0,AW8&lt;0),A8+ABS(AW8/AS9),0)</f>
        <v>0</v>
      </c>
      <c r="AZ9" s="4">
        <f t="shared" ref="AZ9:BE28" si="2">$AS9/(1+AZ$5)^$A9</f>
        <v>199.87043999999997</v>
      </c>
      <c r="BA9" s="4">
        <f t="shared" si="2"/>
        <v>166.55869999999999</v>
      </c>
      <c r="BB9" s="4">
        <f t="shared" si="2"/>
        <v>142.7646</v>
      </c>
      <c r="BC9" s="4">
        <f t="shared" si="2"/>
        <v>124.91902499999998</v>
      </c>
      <c r="BD9" s="4">
        <f t="shared" si="2"/>
        <v>111.03913333333331</v>
      </c>
      <c r="BE9" s="4">
        <f t="shared" si="2"/>
        <v>99.935219999999987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'Input&amp;Output'!$D$30*C10</f>
        <v>138.69999999999999</v>
      </c>
      <c r="G10" s="4">
        <f>'Input&amp;Output'!$D$30*D10</f>
        <v>208.05</v>
      </c>
      <c r="I10" s="4">
        <f t="shared" ref="I10:I28" si="3">SUM(F10:G10)</f>
        <v>346.75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v>49.619836000000006</v>
      </c>
      <c r="U10" s="4">
        <v>49.619836000000006</v>
      </c>
      <c r="W10" s="4">
        <v>346.75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4">MAX(0,W10-AH10-AG10)</f>
        <v>275.230164</v>
      </c>
      <c r="AL10" s="4">
        <f>AK10*('Input&amp;Output'!$D$32/100)</f>
        <v>110.09206560000001</v>
      </c>
      <c r="AM10" s="8"/>
      <c r="AN10" s="5"/>
      <c r="AO10" s="4">
        <v>346.75</v>
      </c>
      <c r="AQ10" s="4">
        <v>49.619836000000006</v>
      </c>
      <c r="AR10" s="4">
        <v>110.09206560000001</v>
      </c>
      <c r="AS10" s="4">
        <f t="shared" si="0"/>
        <v>187.03809839999997</v>
      </c>
      <c r="AU10" s="4">
        <f>AS10/(1+'Input&amp;Output'!$D$33/100)^A10</f>
        <v>154.57694082644622</v>
      </c>
      <c r="AW10" s="4">
        <f t="shared" ref="AW10:AW28" si="5">AW9+AS10</f>
        <v>167.90853839999994</v>
      </c>
      <c r="AX10" s="4">
        <f t="shared" si="1"/>
        <v>1.1022762750671766</v>
      </c>
      <c r="AZ10" s="4">
        <f t="shared" si="2"/>
        <v>187.03809839999997</v>
      </c>
      <c r="BA10" s="4">
        <f t="shared" si="2"/>
        <v>129.88756833333332</v>
      </c>
      <c r="BB10" s="4">
        <f t="shared" si="2"/>
        <v>95.427601224489791</v>
      </c>
      <c r="BC10" s="4">
        <f t="shared" si="2"/>
        <v>73.061757187499978</v>
      </c>
      <c r="BD10" s="4">
        <f t="shared" si="2"/>
        <v>57.727808148148135</v>
      </c>
      <c r="BE10" s="4">
        <f t="shared" si="2"/>
        <v>46.759524599999992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'Input&amp;Output'!$D$30*C11</f>
        <v>131.76499999999999</v>
      </c>
      <c r="G11" s="4">
        <f>'Input&amp;Output'!$D$30*D11</f>
        <v>197.64749999999998</v>
      </c>
      <c r="I11" s="4">
        <f t="shared" si="3"/>
        <v>329.41249999999997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v>52.976337360000002</v>
      </c>
      <c r="U11" s="4">
        <v>52.976337360000002</v>
      </c>
      <c r="W11" s="4">
        <v>329.41249999999997</v>
      </c>
      <c r="AG11" s="4">
        <f>IF(A11&lt;='Input&amp;Output'!$D$38,$K$8/'Input&amp;Output'!$D$38,0)</f>
        <v>21.9</v>
      </c>
      <c r="AH11" s="4">
        <v>52.976337360000002</v>
      </c>
      <c r="AK11" s="4">
        <f t="shared" si="4"/>
        <v>254.53616263999996</v>
      </c>
      <c r="AL11" s="4">
        <f>AK11*('Input&amp;Output'!$D$32/100)</f>
        <v>101.81446505599999</v>
      </c>
      <c r="AM11" s="8"/>
      <c r="AN11" s="5"/>
      <c r="AO11" s="4">
        <v>329.41249999999997</v>
      </c>
      <c r="AQ11" s="4">
        <v>52.976337360000002</v>
      </c>
      <c r="AR11" s="4">
        <v>101.81446505599999</v>
      </c>
      <c r="AS11" s="4">
        <f t="shared" si="0"/>
        <v>174.62169758399997</v>
      </c>
      <c r="AU11" s="4">
        <f>AS11/(1+'Input&amp;Output'!$D$33/100)^A11</f>
        <v>131.19586595341843</v>
      </c>
      <c r="AW11" s="4">
        <f t="shared" si="5"/>
        <v>342.53023598399989</v>
      </c>
      <c r="AX11" s="4">
        <f t="shared" si="1"/>
        <v>0</v>
      </c>
      <c r="AZ11" s="4">
        <f t="shared" si="2"/>
        <v>174.62169758399997</v>
      </c>
      <c r="BA11" s="4">
        <f t="shared" si="2"/>
        <v>101.05422313888887</v>
      </c>
      <c r="BB11" s="4">
        <f t="shared" si="2"/>
        <v>63.637644892128286</v>
      </c>
      <c r="BC11" s="4">
        <f t="shared" si="2"/>
        <v>42.632250386718731</v>
      </c>
      <c r="BD11" s="4">
        <f t="shared" si="2"/>
        <v>29.941992041152254</v>
      </c>
      <c r="BE11" s="4">
        <f t="shared" si="2"/>
        <v>21.827712197999997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'Input&amp;Output'!$D$30*C12</f>
        <v>125.17674999999998</v>
      </c>
      <c r="G12" s="4">
        <f>'Input&amp;Output'!$D$30*D12</f>
        <v>187.76512499999995</v>
      </c>
      <c r="I12" s="4">
        <f t="shared" si="3"/>
        <v>312.94187499999992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v>56.567804473600006</v>
      </c>
      <c r="U12" s="4">
        <v>56.567804473600006</v>
      </c>
      <c r="W12" s="4">
        <v>312.94187499999992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4"/>
        <v>234.47407052639991</v>
      </c>
      <c r="AL12" s="4">
        <f>AK12*('Input&amp;Output'!$D$32/100)</f>
        <v>93.789628210559968</v>
      </c>
      <c r="AM12" s="8"/>
      <c r="AN12" s="5"/>
      <c r="AO12" s="4">
        <v>312.94187499999992</v>
      </c>
      <c r="AQ12" s="4">
        <v>56.567804473600006</v>
      </c>
      <c r="AR12" s="4">
        <v>93.789628210559968</v>
      </c>
      <c r="AS12" s="4">
        <f t="shared" si="0"/>
        <v>162.58444231583996</v>
      </c>
      <c r="AU12" s="4">
        <f>AS12/(1+'Input&amp;Output'!$D$33/100)^A12</f>
        <v>111.04736173474484</v>
      </c>
      <c r="AW12" s="4">
        <f t="shared" si="5"/>
        <v>505.11467829983985</v>
      </c>
      <c r="AX12" s="4">
        <f t="shared" si="1"/>
        <v>0</v>
      </c>
      <c r="AZ12" s="4">
        <f t="shared" si="2"/>
        <v>162.58444231583996</v>
      </c>
      <c r="BA12" s="4">
        <f t="shared" si="2"/>
        <v>78.406849110648139</v>
      </c>
      <c r="BB12" s="4">
        <f t="shared" si="2"/>
        <v>42.322064326280717</v>
      </c>
      <c r="BC12" s="4">
        <f t="shared" si="2"/>
        <v>24.808417101415998</v>
      </c>
      <c r="BD12" s="4">
        <f t="shared" si="2"/>
        <v>15.487772663831727</v>
      </c>
      <c r="BE12" s="4">
        <f t="shared" si="2"/>
        <v>10.161527644739998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'Input&amp;Output'!$D$30*C13</f>
        <v>118.91791249999999</v>
      </c>
      <c r="G13" s="4">
        <f>'Input&amp;Output'!$D$30*D13</f>
        <v>178.37686875</v>
      </c>
      <c r="I13" s="4">
        <f t="shared" si="3"/>
        <v>297.29478124999997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v>60.411089279136007</v>
      </c>
      <c r="U13" s="4">
        <v>60.411089279136007</v>
      </c>
      <c r="W13" s="4">
        <v>297.29478124999997</v>
      </c>
      <c r="AG13" s="4">
        <f>IF(A13&lt;='Input&amp;Output'!$D$38,$K$8/'Input&amp;Output'!$D$38,0)</f>
        <v>21.9</v>
      </c>
      <c r="AH13" s="4">
        <v>60.411089279136007</v>
      </c>
      <c r="AK13" s="4">
        <f t="shared" si="4"/>
        <v>214.98369197086396</v>
      </c>
      <c r="AL13" s="4">
        <f>AK13*('Input&amp;Output'!$D$32/100)</f>
        <v>85.993476788345589</v>
      </c>
      <c r="AM13" s="8"/>
      <c r="AN13" s="5"/>
      <c r="AO13" s="4">
        <v>297.29478124999997</v>
      </c>
      <c r="AQ13" s="4">
        <v>60.411089279136007</v>
      </c>
      <c r="AR13" s="4">
        <v>85.993476788345589</v>
      </c>
      <c r="AS13" s="4">
        <f t="shared" si="0"/>
        <v>150.89021518251838</v>
      </c>
      <c r="AU13" s="4">
        <f>AS13/(1+'Input&amp;Output'!$D$33/100)^A13</f>
        <v>93.690952047809901</v>
      </c>
      <c r="AW13" s="4">
        <f t="shared" si="5"/>
        <v>656.00489348235828</v>
      </c>
      <c r="AX13" s="4">
        <f t="shared" si="1"/>
        <v>0</v>
      </c>
      <c r="AZ13" s="4">
        <f t="shared" si="2"/>
        <v>150.89021518251838</v>
      </c>
      <c r="BA13" s="4">
        <f t="shared" si="2"/>
        <v>60.639393318591814</v>
      </c>
      <c r="BB13" s="4">
        <f t="shared" si="2"/>
        <v>28.055686466672821</v>
      </c>
      <c r="BC13" s="4">
        <f t="shared" si="2"/>
        <v>14.390012281658009</v>
      </c>
      <c r="BD13" s="4">
        <f t="shared" si="2"/>
        <v>7.9854345110902774</v>
      </c>
      <c r="BE13" s="4">
        <f t="shared" si="2"/>
        <v>4.7153192244536992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'Input&amp;Output'!$D$30*C14</f>
        <v>112.97201687499998</v>
      </c>
      <c r="G14" s="4">
        <f>'Input&amp;Output'!$D$30*D14</f>
        <v>169.45802531249996</v>
      </c>
      <c r="I14" s="4">
        <f t="shared" si="3"/>
        <v>282.43004218749991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v>64.524282005803371</v>
      </c>
      <c r="U14" s="4">
        <v>64.524282005803371</v>
      </c>
      <c r="W14" s="4">
        <v>282.43004218749991</v>
      </c>
      <c r="AG14" s="4">
        <f>IF(A14&lt;='Input&amp;Output'!$D$38,$K$8/'Input&amp;Output'!$D$38,0)</f>
        <v>21.9</v>
      </c>
      <c r="AH14" s="4">
        <v>64.524282005803371</v>
      </c>
      <c r="AK14" s="4">
        <f t="shared" si="4"/>
        <v>196.00576018169653</v>
      </c>
      <c r="AL14" s="4">
        <f>AK14*('Input&amp;Output'!$D$32/100)</f>
        <v>78.402304072678618</v>
      </c>
      <c r="AM14" s="8"/>
      <c r="AN14" s="5"/>
      <c r="AO14" s="4">
        <v>282.43004218749991</v>
      </c>
      <c r="AQ14" s="4">
        <v>64.524282005803371</v>
      </c>
      <c r="AR14" s="4">
        <v>78.402304072678618</v>
      </c>
      <c r="AS14" s="4">
        <f t="shared" si="0"/>
        <v>139.50345610901792</v>
      </c>
      <c r="AU14" s="4">
        <f>AS14/(1+'Input&amp;Output'!$D$33/100)^A14</f>
        <v>78.746064125941956</v>
      </c>
      <c r="AW14" s="4">
        <f t="shared" si="5"/>
        <v>795.50834959137615</v>
      </c>
      <c r="AX14" s="4">
        <f t="shared" si="1"/>
        <v>0</v>
      </c>
      <c r="AZ14" s="4">
        <f t="shared" si="2"/>
        <v>139.50345610901792</v>
      </c>
      <c r="BA14" s="4">
        <f t="shared" si="2"/>
        <v>46.719425190830869</v>
      </c>
      <c r="BB14" s="4">
        <f t="shared" si="2"/>
        <v>18.527497060777449</v>
      </c>
      <c r="BC14" s="4">
        <f t="shared" si="2"/>
        <v>8.3150539463173061</v>
      </c>
      <c r="BD14" s="4">
        <f t="shared" si="2"/>
        <v>4.1015681923363161</v>
      </c>
      <c r="BE14" s="4">
        <f t="shared" si="2"/>
        <v>2.179741501703405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'Input&amp;Output'!$D$30*C15</f>
        <v>107.32341603124996</v>
      </c>
      <c r="G15" s="4">
        <f>'Input&amp;Output'!$D$30*D15</f>
        <v>160.98512404687494</v>
      </c>
      <c r="I15" s="4">
        <f t="shared" si="3"/>
        <v>268.30854007812491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v>68.926804653643131</v>
      </c>
      <c r="U15" s="4">
        <v>68.926804653643131</v>
      </c>
      <c r="W15" s="4">
        <v>268.30854007812491</v>
      </c>
      <c r="AG15" s="4">
        <f>IF(A15&lt;='Input&amp;Output'!$D$38,$K$8/'Input&amp;Output'!$D$38,0)</f>
        <v>21.9</v>
      </c>
      <c r="AH15" s="4">
        <v>68.926804653643131</v>
      </c>
      <c r="AK15" s="4">
        <f t="shared" si="4"/>
        <v>177.48173542448177</v>
      </c>
      <c r="AL15" s="4">
        <f>AK15*('Input&amp;Output'!$D$32/100)</f>
        <v>70.992694169792713</v>
      </c>
      <c r="AM15" s="8"/>
      <c r="AN15" s="5"/>
      <c r="AO15" s="4">
        <v>268.30854007812491</v>
      </c>
      <c r="AQ15" s="4">
        <v>68.926804653643131</v>
      </c>
      <c r="AR15" s="4">
        <v>70.992694169792713</v>
      </c>
      <c r="AS15" s="4">
        <f t="shared" si="0"/>
        <v>128.38904125468906</v>
      </c>
      <c r="AU15" s="4">
        <f>AS15/(1+'Input&amp;Output'!$D$33/100)^A15</f>
        <v>65.883878811700782</v>
      </c>
      <c r="AW15" s="4">
        <f t="shared" si="5"/>
        <v>923.89739084606526</v>
      </c>
      <c r="AX15" s="4">
        <f t="shared" si="1"/>
        <v>0</v>
      </c>
      <c r="AZ15" s="4">
        <f t="shared" si="2"/>
        <v>128.38904125468906</v>
      </c>
      <c r="BA15" s="4">
        <f t="shared" si="2"/>
        <v>35.831025120108109</v>
      </c>
      <c r="BB15" s="4">
        <f t="shared" si="2"/>
        <v>12.179562995523717</v>
      </c>
      <c r="BC15" s="4">
        <f t="shared" si="2"/>
        <v>4.7828644981491921</v>
      </c>
      <c r="BD15" s="4">
        <f t="shared" si="2"/>
        <v>2.0971061798691526</v>
      </c>
      <c r="BE15" s="4">
        <f t="shared" si="2"/>
        <v>1.0030393848022583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'Input&amp;Output'!$D$30*C16</f>
        <v>101.95724522968746</v>
      </c>
      <c r="G16" s="4">
        <f>'Input&amp;Output'!$D$30*D16</f>
        <v>152.93586784453117</v>
      </c>
      <c r="I16" s="4">
        <f t="shared" si="3"/>
        <v>254.89311307421863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v>73.63951174757122</v>
      </c>
      <c r="U16" s="4">
        <v>73.63951174757122</v>
      </c>
      <c r="W16" s="4">
        <v>254.89311307421863</v>
      </c>
      <c r="AG16" s="4">
        <f>IF(A16&lt;='Input&amp;Output'!$D$38,$K$8/'Input&amp;Output'!$D$38,0)</f>
        <v>21.9</v>
      </c>
      <c r="AH16" s="4">
        <v>73.63951174757122</v>
      </c>
      <c r="AK16" s="4">
        <f t="shared" si="4"/>
        <v>159.35360132664741</v>
      </c>
      <c r="AL16" s="4">
        <f>AK16*('Input&amp;Output'!$D$32/100)</f>
        <v>63.741440530658963</v>
      </c>
      <c r="AM16" s="8"/>
      <c r="AN16" s="5"/>
      <c r="AO16" s="4">
        <v>254.89311307421863</v>
      </c>
      <c r="AQ16" s="4">
        <v>73.63951174757122</v>
      </c>
      <c r="AR16" s="4">
        <v>63.741440530658963</v>
      </c>
      <c r="AS16" s="4">
        <f t="shared" si="0"/>
        <v>117.51216079598845</v>
      </c>
      <c r="AU16" s="4">
        <f>AS16/(1+'Input&amp;Output'!$D$33/100)^A16</f>
        <v>54.820290275721483</v>
      </c>
      <c r="AW16" s="4">
        <f t="shared" si="5"/>
        <v>1041.4095516420537</v>
      </c>
      <c r="AX16" s="4">
        <f t="shared" si="1"/>
        <v>0</v>
      </c>
      <c r="AZ16" s="4">
        <f t="shared" si="2"/>
        <v>117.51216079598845</v>
      </c>
      <c r="BA16" s="4">
        <f t="shared" si="2"/>
        <v>27.329572837442008</v>
      </c>
      <c r="BB16" s="4">
        <f t="shared" si="2"/>
        <v>7.9626665015727367</v>
      </c>
      <c r="BC16" s="4">
        <f t="shared" si="2"/>
        <v>2.7360432035286992</v>
      </c>
      <c r="BD16" s="4">
        <f t="shared" si="2"/>
        <v>1.0663573611317101</v>
      </c>
      <c r="BE16" s="4">
        <f t="shared" si="2"/>
        <v>0.45903187810932988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'Input&amp;Output'!$D$30*C17</f>
        <v>96.859382968203093</v>
      </c>
      <c r="G17" s="4">
        <f>'Input&amp;Output'!$D$30*D17</f>
        <v>145.28907445230462</v>
      </c>
      <c r="I17" s="4">
        <f t="shared" si="3"/>
        <v>242.14845742050773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v>78.684798950472654</v>
      </c>
      <c r="U17" s="4">
        <v>78.684798950472654</v>
      </c>
      <c r="W17" s="4">
        <v>242.14845742050773</v>
      </c>
      <c r="AG17" s="4">
        <f>IF(A17&lt;='Input&amp;Output'!$D$38,$K$8/'Input&amp;Output'!$D$38,0)</f>
        <v>21.9</v>
      </c>
      <c r="AH17" s="4">
        <v>78.684798950472654</v>
      </c>
      <c r="AK17" s="4">
        <f t="shared" si="4"/>
        <v>141.56365847003505</v>
      </c>
      <c r="AL17" s="4">
        <f>AK17*('Input&amp;Output'!$D$32/100)</f>
        <v>56.625463388014026</v>
      </c>
      <c r="AM17" s="8"/>
      <c r="AN17" s="5"/>
      <c r="AO17" s="4">
        <v>242.14845742050773</v>
      </c>
      <c r="AQ17" s="4">
        <v>78.684798950472654</v>
      </c>
      <c r="AR17" s="4">
        <v>56.625463388014026</v>
      </c>
      <c r="AS17" s="4">
        <f t="shared" si="0"/>
        <v>106.83819508202103</v>
      </c>
      <c r="AU17" s="4">
        <f>AS17/(1+'Input&amp;Output'!$D$33/100)^A17</f>
        <v>45.309824085500026</v>
      </c>
      <c r="AW17" s="4">
        <f t="shared" si="5"/>
        <v>1148.2477467240747</v>
      </c>
      <c r="AX17" s="4">
        <f t="shared" si="1"/>
        <v>0</v>
      </c>
      <c r="AZ17" s="4">
        <f t="shared" si="2"/>
        <v>106.83819508202103</v>
      </c>
      <c r="BA17" s="4">
        <f t="shared" si="2"/>
        <v>20.705957965945029</v>
      </c>
      <c r="BB17" s="4">
        <f t="shared" si="2"/>
        <v>5.1709962326186227</v>
      </c>
      <c r="BC17" s="4">
        <f t="shared" si="2"/>
        <v>1.5547003579852889</v>
      </c>
      <c r="BD17" s="4">
        <f t="shared" si="2"/>
        <v>0.53860948425361221</v>
      </c>
      <c r="BE17" s="4">
        <f t="shared" si="2"/>
        <v>0.20866834976957233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'Input&amp;Output'!$D$30*C18</f>
        <v>92.01641381979293</v>
      </c>
      <c r="G18" s="4">
        <f>'Input&amp;Output'!$D$30*D18</f>
        <v>138.02462072968939</v>
      </c>
      <c r="I18" s="4">
        <f t="shared" si="3"/>
        <v>230.04103454948233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v>84.086720169074482</v>
      </c>
      <c r="U18" s="4">
        <v>84.086720169074482</v>
      </c>
      <c r="W18" s="4">
        <v>230.04103454948233</v>
      </c>
      <c r="AG18" s="4">
        <f>IF(A18&lt;='Input&amp;Output'!$D$38,$K$8/'Input&amp;Output'!$D$38,0)</f>
        <v>21.9</v>
      </c>
      <c r="AH18" s="4">
        <v>84.086720169074482</v>
      </c>
      <c r="AK18" s="4">
        <f t="shared" si="4"/>
        <v>124.05431438040785</v>
      </c>
      <c r="AL18" s="4">
        <f>AK18*('Input&amp;Output'!$D$32/100)</f>
        <v>49.621725752163144</v>
      </c>
      <c r="AM18" s="8"/>
      <c r="AN18" s="5"/>
      <c r="AO18" s="4">
        <v>230.04103454948233</v>
      </c>
      <c r="AQ18" s="4">
        <v>84.086720169074482</v>
      </c>
      <c r="AR18" s="4">
        <v>49.621725752163144</v>
      </c>
      <c r="AS18" s="4">
        <f t="shared" si="0"/>
        <v>96.332588628244707</v>
      </c>
      <c r="AU18" s="4">
        <f>AS18/(1+'Input&amp;Output'!$D$33/100)^A18</f>
        <v>37.140383098995343</v>
      </c>
      <c r="AW18" s="4">
        <f t="shared" si="5"/>
        <v>1244.5803353523193</v>
      </c>
      <c r="AX18" s="4">
        <f t="shared" si="1"/>
        <v>0</v>
      </c>
      <c r="AZ18" s="4">
        <f t="shared" si="2"/>
        <v>96.332588628244707</v>
      </c>
      <c r="BA18" s="4">
        <f t="shared" si="2"/>
        <v>15.558250877692387</v>
      </c>
      <c r="BB18" s="4">
        <f t="shared" si="2"/>
        <v>3.3303729765814025</v>
      </c>
      <c r="BC18" s="4">
        <f t="shared" si="2"/>
        <v>0.87613978965459505</v>
      </c>
      <c r="BD18" s="4">
        <f t="shared" si="2"/>
        <v>0.26980387303353137</v>
      </c>
      <c r="BE18" s="4">
        <f t="shared" si="2"/>
        <v>9.4074793582270222E-2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'Input&amp;Output'!$D$30*C19</f>
        <v>87.41559312880328</v>
      </c>
      <c r="G19" s="4">
        <f>'Input&amp;Output'!$D$30*D19</f>
        <v>131.12338969320493</v>
      </c>
      <c r="I19" s="4">
        <f t="shared" si="3"/>
        <v>218.53898282200822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v>89.871113839195871</v>
      </c>
      <c r="U19" s="4">
        <v>89.871113839195871</v>
      </c>
      <c r="W19" s="4">
        <v>218.53898282200822</v>
      </c>
      <c r="AG19" s="4">
        <f>IF(A19&lt;='Input&amp;Output'!$D$38,$K$8/'Input&amp;Output'!$D$38,0)</f>
        <v>0</v>
      </c>
      <c r="AH19" s="4">
        <v>89.871113839195871</v>
      </c>
      <c r="AK19" s="4">
        <f t="shared" si="4"/>
        <v>128.66786898281237</v>
      </c>
      <c r="AL19" s="4">
        <f>AK19*('Input&amp;Output'!$D$32/100)</f>
        <v>51.467147593124949</v>
      </c>
      <c r="AM19" s="8"/>
      <c r="AN19" s="5"/>
      <c r="AO19" s="4">
        <v>218.53898282200822</v>
      </c>
      <c r="AQ19" s="4">
        <v>89.871113839195871</v>
      </c>
      <c r="AR19" s="4">
        <v>51.467147593124949</v>
      </c>
      <c r="AS19" s="4">
        <f t="shared" si="0"/>
        <v>77.200721389687416</v>
      </c>
      <c r="AU19" s="4">
        <f>AS19/(1+'Input&amp;Output'!$D$33/100)^A19</f>
        <v>27.058381882648067</v>
      </c>
      <c r="AW19" s="4">
        <f t="shared" si="5"/>
        <v>1321.7810567420067</v>
      </c>
      <c r="AX19" s="4">
        <f t="shared" si="1"/>
        <v>0</v>
      </c>
      <c r="AZ19" s="4">
        <f t="shared" si="2"/>
        <v>77.200721389687416</v>
      </c>
      <c r="BA19" s="4">
        <f t="shared" si="2"/>
        <v>10.390289589631708</v>
      </c>
      <c r="BB19" s="4">
        <f t="shared" si="2"/>
        <v>1.9063953327140297</v>
      </c>
      <c r="BC19" s="4">
        <f t="shared" si="2"/>
        <v>0.43883529423105377</v>
      </c>
      <c r="BD19" s="4">
        <f t="shared" si="2"/>
        <v>0.1201223451685082</v>
      </c>
      <c r="BE19" s="4">
        <f t="shared" si="2"/>
        <v>3.7695664741058309E-2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'Input&amp;Output'!$D$30*C20</f>
        <v>83.044813472363117</v>
      </c>
      <c r="G20" s="4">
        <f>'Input&amp;Output'!$D$30*D20</f>
        <v>124.56722020854468</v>
      </c>
      <c r="I20" s="4">
        <f t="shared" si="3"/>
        <v>207.61203368090781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v>96.065739134419545</v>
      </c>
      <c r="U20" s="4">
        <v>96.065739134419545</v>
      </c>
      <c r="W20" s="4">
        <v>207.61203368090781</v>
      </c>
      <c r="AG20" s="4">
        <f>IF(A20&lt;='Input&amp;Output'!$D$38,$K$8/'Input&amp;Output'!$D$38,0)</f>
        <v>0</v>
      </c>
      <c r="AH20" s="4">
        <v>96.065739134419545</v>
      </c>
      <c r="AK20" s="4">
        <f t="shared" si="4"/>
        <v>111.54629454648827</v>
      </c>
      <c r="AL20" s="4">
        <f>AK20*('Input&amp;Output'!$D$32/100)</f>
        <v>44.618517818595308</v>
      </c>
      <c r="AM20" s="8"/>
      <c r="AN20" s="5"/>
      <c r="AO20" s="4">
        <v>207.61203368090781</v>
      </c>
      <c r="AQ20" s="4">
        <v>96.065739134419545</v>
      </c>
      <c r="AR20" s="4">
        <v>44.618517818595308</v>
      </c>
      <c r="AS20" s="4">
        <f t="shared" si="0"/>
        <v>66.927776727892962</v>
      </c>
      <c r="AU20" s="4">
        <f>AS20/(1+'Input&amp;Output'!$D$33/100)^A20</f>
        <v>21.325252226344706</v>
      </c>
      <c r="AW20" s="4">
        <f t="shared" si="5"/>
        <v>1388.7088334698997</v>
      </c>
      <c r="AX20" s="4">
        <f t="shared" si="1"/>
        <v>0</v>
      </c>
      <c r="AZ20" s="4">
        <f t="shared" si="2"/>
        <v>66.927776727892962</v>
      </c>
      <c r="BA20" s="4">
        <f t="shared" si="2"/>
        <v>7.5063955499720878</v>
      </c>
      <c r="BB20" s="4">
        <f t="shared" si="2"/>
        <v>1.1805108154267436</v>
      </c>
      <c r="BC20" s="4">
        <f t="shared" si="2"/>
        <v>0.23777522787289082</v>
      </c>
      <c r="BD20" s="4">
        <f t="shared" si="2"/>
        <v>5.7854392439961627E-2</v>
      </c>
      <c r="BE20" s="4">
        <f t="shared" si="2"/>
        <v>1.6339789240208243E-2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'Input&amp;Output'!$D$30*C21</f>
        <v>78.892572798744965</v>
      </c>
      <c r="G21" s="4">
        <f>'Input&amp;Output'!$D$30*D21</f>
        <v>118.33885919811743</v>
      </c>
      <c r="I21" s="4">
        <f t="shared" si="3"/>
        <v>197.2314319968624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v>102.70042290464741</v>
      </c>
      <c r="U21" s="4">
        <v>102.70042290464741</v>
      </c>
      <c r="W21" s="4">
        <v>197.2314319968624</v>
      </c>
      <c r="AG21" s="4">
        <f>IF(A21&lt;='Input&amp;Output'!$D$38,$K$8/'Input&amp;Output'!$D$38,0)</f>
        <v>0</v>
      </c>
      <c r="AH21" s="4">
        <v>102.70042290464741</v>
      </c>
      <c r="AK21" s="4">
        <f t="shared" si="4"/>
        <v>94.531009092214987</v>
      </c>
      <c r="AL21" s="4">
        <f>AK21*('Input&amp;Output'!$D$32/100)</f>
        <v>37.812403636885996</v>
      </c>
      <c r="AM21" s="8"/>
      <c r="AN21" s="5"/>
      <c r="AO21" s="4">
        <v>197.2314319968624</v>
      </c>
      <c r="AQ21" s="4">
        <v>102.70042290464741</v>
      </c>
      <c r="AR21" s="4">
        <v>37.812403636885996</v>
      </c>
      <c r="AS21" s="4">
        <f t="shared" si="0"/>
        <v>56.718605455328991</v>
      </c>
      <c r="AU21" s="4">
        <f>AS21/(1+'Input&amp;Output'!$D$33/100)^A21</f>
        <v>16.429359668747786</v>
      </c>
      <c r="AW21" s="4">
        <f t="shared" si="5"/>
        <v>1445.4274389252287</v>
      </c>
      <c r="AX21" s="4">
        <f t="shared" si="1"/>
        <v>0</v>
      </c>
      <c r="AZ21" s="4">
        <f t="shared" si="2"/>
        <v>56.718605455328991</v>
      </c>
      <c r="BA21" s="4">
        <f t="shared" si="2"/>
        <v>5.301140876598434</v>
      </c>
      <c r="BB21" s="4">
        <f t="shared" si="2"/>
        <v>0.71459682201439889</v>
      </c>
      <c r="BC21" s="4">
        <f t="shared" si="2"/>
        <v>0.12594060340227234</v>
      </c>
      <c r="BD21" s="4">
        <f t="shared" si="2"/>
        <v>2.7238486844318455E-2</v>
      </c>
      <c r="BE21" s="4">
        <f t="shared" si="2"/>
        <v>6.9236578924962147E-3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'Input&amp;Output'!$D$30*C22</f>
        <v>74.947944158807701</v>
      </c>
      <c r="G22" s="4">
        <f>'Input&amp;Output'!$D$30*D22</f>
        <v>112.42191623821157</v>
      </c>
      <c r="I22" s="4">
        <f t="shared" si="3"/>
        <v>187.36986039701927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v>109.80721821883162</v>
      </c>
      <c r="U22" s="4">
        <v>109.80721821883162</v>
      </c>
      <c r="W22" s="4">
        <v>187.36986039701927</v>
      </c>
      <c r="AG22" s="4">
        <f>IF(A22&lt;='Input&amp;Output'!$D$38,$K$8/'Input&amp;Output'!$D$38,0)</f>
        <v>0</v>
      </c>
      <c r="AH22" s="4">
        <v>109.80721821883162</v>
      </c>
      <c r="AK22" s="4">
        <f t="shared" si="4"/>
        <v>77.562642178187645</v>
      </c>
      <c r="AL22" s="4">
        <f>AK22*('Input&amp;Output'!$D$32/100)</f>
        <v>31.025056871275059</v>
      </c>
      <c r="AM22" s="8"/>
      <c r="AN22" s="5"/>
      <c r="AO22" s="4">
        <v>187.36986039701927</v>
      </c>
      <c r="AQ22" s="4">
        <v>109.80721821883162</v>
      </c>
      <c r="AR22" s="4">
        <v>31.025056871275059</v>
      </c>
      <c r="AS22" s="4">
        <f t="shared" si="0"/>
        <v>46.53758530691259</v>
      </c>
      <c r="AU22" s="4">
        <f>AS22/(1+'Input&amp;Output'!$D$33/100)^A22</f>
        <v>12.25480071124548</v>
      </c>
      <c r="AW22" s="4">
        <f t="shared" si="5"/>
        <v>1491.9650242321413</v>
      </c>
      <c r="AX22" s="4">
        <f t="shared" si="1"/>
        <v>0</v>
      </c>
      <c r="AZ22" s="4">
        <f t="shared" si="2"/>
        <v>46.53758530691259</v>
      </c>
      <c r="BA22" s="4">
        <f t="shared" si="2"/>
        <v>3.6246527012340084</v>
      </c>
      <c r="BB22" s="4">
        <f t="shared" si="2"/>
        <v>0.41880450613002251</v>
      </c>
      <c r="BC22" s="4">
        <f t="shared" si="2"/>
        <v>6.4583873397739577E-2</v>
      </c>
      <c r="BD22" s="4">
        <f t="shared" si="2"/>
        <v>1.2416202124040097E-2</v>
      </c>
      <c r="BE22" s="4">
        <f t="shared" si="2"/>
        <v>2.8404287907051141E-3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'Input&amp;Output'!$D$30*C23</f>
        <v>71.20054695086732</v>
      </c>
      <c r="G23" s="4">
        <f>'Input&amp;Output'!$D$30*D23</f>
        <v>106.80082042630097</v>
      </c>
      <c r="I23" s="4">
        <f t="shared" si="3"/>
        <v>178.00136737716829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v>117.42057545990087</v>
      </c>
      <c r="U23" s="4">
        <v>117.42057545990087</v>
      </c>
      <c r="W23" s="4">
        <v>178.00136737716829</v>
      </c>
      <c r="AG23" s="4">
        <f>IF(A23&lt;='Input&amp;Output'!$D$38,$K$8/'Input&amp;Output'!$D$38,0)</f>
        <v>0</v>
      </c>
      <c r="AH23" s="4">
        <v>117.42057545990087</v>
      </c>
      <c r="AK23" s="4">
        <f t="shared" si="4"/>
        <v>60.580791917267419</v>
      </c>
      <c r="AL23" s="4">
        <f>AK23*('Input&amp;Output'!$D$32/100)</f>
        <v>24.232316766906969</v>
      </c>
      <c r="AM23" s="8"/>
      <c r="AN23" s="5"/>
      <c r="AO23" s="4">
        <v>178.00136737716829</v>
      </c>
      <c r="AQ23" s="4">
        <v>117.42057545990087</v>
      </c>
      <c r="AR23" s="4">
        <v>24.232316766906969</v>
      </c>
      <c r="AS23" s="4">
        <f t="shared" si="0"/>
        <v>36.34847515036045</v>
      </c>
      <c r="AU23" s="4">
        <f>AS23/(1+'Input&amp;Output'!$D$33/100)^A23</f>
        <v>8.7015359576888986</v>
      </c>
      <c r="AW23" s="4">
        <f t="shared" si="5"/>
        <v>1528.3134993825017</v>
      </c>
      <c r="AX23" s="4">
        <f t="shared" si="1"/>
        <v>0</v>
      </c>
      <c r="AZ23" s="4">
        <f t="shared" si="2"/>
        <v>36.34847515036045</v>
      </c>
      <c r="BA23" s="4">
        <f t="shared" si="2"/>
        <v>2.359214918626237</v>
      </c>
      <c r="BB23" s="4">
        <f t="shared" si="2"/>
        <v>0.23364993329787645</v>
      </c>
      <c r="BC23" s="4">
        <f t="shared" si="2"/>
        <v>3.1527276579644888E-2</v>
      </c>
      <c r="BD23" s="4">
        <f t="shared" si="2"/>
        <v>5.3876406372655753E-3</v>
      </c>
      <c r="BE23" s="4">
        <f t="shared" si="2"/>
        <v>1.1092674301257462E-3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'Input&amp;Output'!$D$30*C24</f>
        <v>67.640519603323952</v>
      </c>
      <c r="G24" s="4">
        <f>'Input&amp;Output'!$D$30*D24</f>
        <v>101.46077940498593</v>
      </c>
      <c r="I24" s="4">
        <f t="shared" si="3"/>
        <v>169.10129900830987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v>125.57752700005267</v>
      </c>
      <c r="U24" s="4">
        <v>125.57752700005267</v>
      </c>
      <c r="W24" s="4">
        <v>169.10129900830987</v>
      </c>
      <c r="AG24" s="4">
        <f>IF(A24&lt;='Input&amp;Output'!$D$38,$K$8/'Input&amp;Output'!$D$38,0)</f>
        <v>0</v>
      </c>
      <c r="AH24" s="4">
        <v>125.57752700005267</v>
      </c>
      <c r="AK24" s="4">
        <f t="shared" si="4"/>
        <v>43.523772008257197</v>
      </c>
      <c r="AL24" s="4">
        <f>AK24*('Input&amp;Output'!$D$32/100)</f>
        <v>17.409508803302881</v>
      </c>
      <c r="AM24" s="8"/>
      <c r="AN24" s="5"/>
      <c r="AO24" s="4">
        <v>169.10129900830987</v>
      </c>
      <c r="AQ24" s="4">
        <v>125.57752700005267</v>
      </c>
      <c r="AR24" s="4">
        <v>17.409508803302881</v>
      </c>
      <c r="AS24" s="4">
        <f t="shared" si="0"/>
        <v>26.114263204954316</v>
      </c>
      <c r="AU24" s="4">
        <f>AS24/(1+'Input&amp;Output'!$D$33/100)^A24</f>
        <v>5.6832245330906828</v>
      </c>
      <c r="AW24" s="4">
        <f t="shared" si="5"/>
        <v>1554.4277625874561</v>
      </c>
      <c r="AX24" s="4">
        <f t="shared" si="1"/>
        <v>0</v>
      </c>
      <c r="AZ24" s="4">
        <f t="shared" si="2"/>
        <v>26.114263204954316</v>
      </c>
      <c r="BA24" s="4">
        <f t="shared" si="2"/>
        <v>1.4124654722379621</v>
      </c>
      <c r="BB24" s="4">
        <f t="shared" si="2"/>
        <v>0.11990276720630109</v>
      </c>
      <c r="BC24" s="4">
        <f t="shared" si="2"/>
        <v>1.4156570449834847E-2</v>
      </c>
      <c r="BD24" s="4">
        <f t="shared" si="2"/>
        <v>2.1503922955847664E-3</v>
      </c>
      <c r="BE24" s="4">
        <f t="shared" si="2"/>
        <v>3.9847203376700311E-4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'Input&amp;Output'!$D$30*C25</f>
        <v>64.258493623157747</v>
      </c>
      <c r="G25" s="4">
        <f>'Input&amp;Output'!$D$30*D25</f>
        <v>96.387740434736614</v>
      </c>
      <c r="I25" s="4">
        <f t="shared" si="3"/>
        <v>160.64623405789436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v>134.31788657173794</v>
      </c>
      <c r="U25" s="4">
        <v>134.31788657173794</v>
      </c>
      <c r="W25" s="4">
        <v>160.64623405789436</v>
      </c>
      <c r="AG25" s="4">
        <f>IF(A25&lt;='Input&amp;Output'!$D$38,$K$8/'Input&amp;Output'!$D$38,0)</f>
        <v>0</v>
      </c>
      <c r="AH25" s="4">
        <v>134.31788657173794</v>
      </c>
      <c r="AK25" s="4">
        <f t="shared" si="4"/>
        <v>26.328347486156417</v>
      </c>
      <c r="AL25" s="4">
        <f>AK25*('Input&amp;Output'!$D$32/100)</f>
        <v>10.531338994462567</v>
      </c>
      <c r="AM25" s="8"/>
      <c r="AN25" s="5"/>
      <c r="AO25" s="4">
        <v>160.64623405789436</v>
      </c>
      <c r="AQ25" s="4">
        <v>134.31788657173794</v>
      </c>
      <c r="AR25" s="4">
        <v>10.531338994462567</v>
      </c>
      <c r="AS25" s="4">
        <f t="shared" si="0"/>
        <v>15.79700849169385</v>
      </c>
      <c r="AU25" s="4">
        <f>AS25/(1+'Input&amp;Output'!$D$33/100)^A25</f>
        <v>3.1253539146517912</v>
      </c>
      <c r="AW25" s="4">
        <f t="shared" si="5"/>
        <v>1570.2247710791498</v>
      </c>
      <c r="AX25" s="4">
        <f t="shared" si="1"/>
        <v>0</v>
      </c>
      <c r="AZ25" s="4">
        <f t="shared" si="2"/>
        <v>15.79700849169385</v>
      </c>
      <c r="BA25" s="4">
        <f t="shared" si="2"/>
        <v>0.71202241995906512</v>
      </c>
      <c r="BB25" s="4">
        <f t="shared" si="2"/>
        <v>5.1808169156719847E-2</v>
      </c>
      <c r="BC25" s="4">
        <f t="shared" si="2"/>
        <v>5.3522346642082509E-3</v>
      </c>
      <c r="BD25" s="4">
        <f t="shared" si="2"/>
        <v>7.2267372489590606E-4</v>
      </c>
      <c r="BE25" s="4">
        <f t="shared" si="2"/>
        <v>1.2052161019663887E-4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'Input&amp;Output'!$D$30*C26</f>
        <v>61.045568941999861</v>
      </c>
      <c r="G26" s="4">
        <f>'Input&amp;Output'!$D$30*D26</f>
        <v>91.568353412999798</v>
      </c>
      <c r="I26" s="4">
        <f t="shared" si="3"/>
        <v>152.61392235499966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v>143.68446454444995</v>
      </c>
      <c r="U26" s="4">
        <v>143.68446454444995</v>
      </c>
      <c r="W26" s="4">
        <v>152.61392235499966</v>
      </c>
      <c r="AG26" s="4">
        <f>IF(A26&lt;='Input&amp;Output'!$D$38,$K$8/'Input&amp;Output'!$D$38,0)</f>
        <v>0</v>
      </c>
      <c r="AH26" s="4">
        <v>143.68446454444995</v>
      </c>
      <c r="AK26" s="4">
        <f t="shared" si="4"/>
        <v>8.9294578105497067</v>
      </c>
      <c r="AL26" s="4">
        <f>AK26*('Input&amp;Output'!$D$32/100)</f>
        <v>3.5717831242198828</v>
      </c>
      <c r="AM26" s="8"/>
      <c r="AN26" s="5"/>
      <c r="AO26" s="4">
        <v>152.61392235499966</v>
      </c>
      <c r="AQ26" s="4">
        <v>143.68446454444995</v>
      </c>
      <c r="AR26" s="4">
        <v>3.5717831242198828</v>
      </c>
      <c r="AS26" s="4">
        <f t="shared" si="0"/>
        <v>5.3576746863298244</v>
      </c>
      <c r="AU26" s="4">
        <f>AS26/(1+'Input&amp;Output'!$D$33/100)^A26</f>
        <v>0.96362488581050798</v>
      </c>
      <c r="AW26" s="4">
        <f t="shared" si="5"/>
        <v>1575.5824457654796</v>
      </c>
      <c r="AX26" s="4">
        <f t="shared" si="1"/>
        <v>0</v>
      </c>
      <c r="AZ26" s="4">
        <f t="shared" si="2"/>
        <v>5.3576746863298244</v>
      </c>
      <c r="BA26" s="4">
        <f t="shared" si="2"/>
        <v>0.20123981583389772</v>
      </c>
      <c r="BB26" s="4">
        <f t="shared" si="2"/>
        <v>1.2550808346403052E-2</v>
      </c>
      <c r="BC26" s="4">
        <f t="shared" si="2"/>
        <v>1.1345317449979256E-3</v>
      </c>
      <c r="BD26" s="4">
        <f t="shared" si="2"/>
        <v>1.3616680526661878E-4</v>
      </c>
      <c r="BE26" s="4">
        <f t="shared" si="2"/>
        <v>2.0437906976050661E-5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'Input&amp;Output'!$D$30*C27</f>
        <v>57.993290494899867</v>
      </c>
      <c r="G27" s="4">
        <f>'Input&amp;Output'!$D$30*D27</f>
        <v>86.989935742349786</v>
      </c>
      <c r="I27" s="4">
        <f t="shared" si="3"/>
        <v>144.98322623724965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v>153.72330042053716</v>
      </c>
      <c r="U27" s="4">
        <v>153.72330042053716</v>
      </c>
      <c r="W27" s="4">
        <v>144.98322623724965</v>
      </c>
      <c r="AG27" s="4">
        <f>IF(A27&lt;='Input&amp;Output'!$D$38,$K$8/'Input&amp;Output'!$D$38,0)</f>
        <v>0</v>
      </c>
      <c r="AH27" s="4">
        <v>153.72330042053716</v>
      </c>
      <c r="AK27" s="4">
        <f t="shared" si="4"/>
        <v>0</v>
      </c>
      <c r="AL27" s="4">
        <f>AK27*('Input&amp;Output'!$D$32/100)</f>
        <v>0</v>
      </c>
      <c r="AM27" s="8"/>
      <c r="AN27" s="5"/>
      <c r="AO27" s="4">
        <v>144.98322623724965</v>
      </c>
      <c r="AQ27" s="4">
        <v>153.72330042053716</v>
      </c>
      <c r="AR27" s="4">
        <v>0</v>
      </c>
      <c r="AS27" s="4">
        <f t="shared" si="0"/>
        <v>-8.7400741832875042</v>
      </c>
      <c r="AU27" s="4">
        <f>AS27/(1+'Input&amp;Output'!$D$33/100)^A27</f>
        <v>-1.4290719693844081</v>
      </c>
      <c r="AW27" s="4">
        <f t="shared" si="5"/>
        <v>1566.8423715821921</v>
      </c>
      <c r="AX27" s="4">
        <f t="shared" si="1"/>
        <v>0</v>
      </c>
      <c r="AZ27" s="4">
        <f t="shared" si="2"/>
        <v>-8.7400741832875042</v>
      </c>
      <c r="BA27" s="4">
        <f t="shared" si="2"/>
        <v>-0.27357187305951841</v>
      </c>
      <c r="BB27" s="4">
        <f t="shared" si="2"/>
        <v>-1.4624547618934497E-2</v>
      </c>
      <c r="BC27" s="4">
        <f t="shared" si="2"/>
        <v>-1.1567391866705034E-3</v>
      </c>
      <c r="BD27" s="4">
        <f t="shared" si="2"/>
        <v>-1.2340635412515883E-4</v>
      </c>
      <c r="BE27" s="4">
        <f t="shared" si="2"/>
        <v>-1.6670368544173249E-5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'Input&amp;Output'!$D$30*C28</f>
        <v>55.093625970154875</v>
      </c>
      <c r="G28" s="4">
        <f>'Input&amp;Output'!$D$30*D28</f>
        <v>82.640438955232312</v>
      </c>
      <c r="H28" s="11"/>
      <c r="I28" s="4">
        <f t="shared" si="3"/>
        <v>137.7340649253872</v>
      </c>
      <c r="M28" s="11">
        <v>1.4859473959783542</v>
      </c>
      <c r="N28" s="11">
        <v>7.9598931154332622</v>
      </c>
      <c r="O28" s="11">
        <v>16.035677361064241</v>
      </c>
      <c r="P28" s="11">
        <v>0.43926841438126812</v>
      </c>
      <c r="Q28" s="11">
        <v>14.733224889023084</v>
      </c>
      <c r="R28" s="11">
        <v>7.739368924972359</v>
      </c>
      <c r="S28" s="11">
        <v>116.09053387458539</v>
      </c>
      <c r="T28" s="11">
        <v>164.48391397543796</v>
      </c>
      <c r="U28" s="11">
        <v>164.48391397543796</v>
      </c>
      <c r="W28" s="11">
        <v>137.7340649253872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4"/>
        <v>0</v>
      </c>
      <c r="AL28" s="4">
        <f>AK28*('Input&amp;Output'!$D$32/100)</f>
        <v>0</v>
      </c>
      <c r="AM28" s="18"/>
      <c r="AN28" s="5"/>
      <c r="AO28" s="11">
        <v>137.7340649253872</v>
      </c>
      <c r="AP28" s="11"/>
      <c r="AQ28" s="11">
        <v>164.48391397543796</v>
      </c>
      <c r="AR28" s="11">
        <v>0</v>
      </c>
      <c r="AS28" s="4">
        <f t="shared" si="0"/>
        <v>-26.749849050050756</v>
      </c>
      <c r="AU28" s="4">
        <f>AS28/(1+'Input&amp;Output'!$D$33/100)^A28</f>
        <v>-3.9761946118977325</v>
      </c>
      <c r="AV28" s="14"/>
      <c r="AW28" s="4">
        <f t="shared" si="5"/>
        <v>1540.0925225321414</v>
      </c>
      <c r="AX28" s="4">
        <f t="shared" si="1"/>
        <v>0</v>
      </c>
      <c r="AZ28" s="4">
        <f t="shared" si="2"/>
        <v>-26.749849050050756</v>
      </c>
      <c r="BA28" s="4">
        <f t="shared" si="2"/>
        <v>-0.69774448851122894</v>
      </c>
      <c r="BB28" s="4">
        <f t="shared" si="2"/>
        <v>-3.1971324027352567E-2</v>
      </c>
      <c r="BC28" s="4">
        <f t="shared" si="2"/>
        <v>-2.2126956522921962E-3</v>
      </c>
      <c r="BD28" s="4">
        <f t="shared" si="2"/>
        <v>-2.0983176492797136E-4</v>
      </c>
      <c r="BE28" s="4">
        <f t="shared" si="2"/>
        <v>-2.551064400677753E-5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2809.8316598505835</v>
      </c>
      <c r="I30" s="12">
        <f>SUM(I9:I29)</f>
        <v>4683.0527664176398</v>
      </c>
      <c r="M30" s="12">
        <f t="shared" ref="M30:W30" si="6">SUM(M9:M29)</f>
        <v>24.783317194896075</v>
      </c>
      <c r="N30" s="12">
        <f t="shared" si="6"/>
        <v>104.15775542409848</v>
      </c>
      <c r="O30" s="12">
        <f t="shared" si="6"/>
        <v>194.9636333788014</v>
      </c>
      <c r="P30" s="12">
        <f t="shared" si="6"/>
        <v>8.0061098525080752</v>
      </c>
      <c r="Q30" s="12">
        <f t="shared" si="6"/>
        <v>137.97547377925386</v>
      </c>
      <c r="R30" s="12">
        <f t="shared" si="6"/>
        <v>87.730353567434619</v>
      </c>
      <c r="S30" s="12">
        <f t="shared" si="6"/>
        <v>1315.9553035115193</v>
      </c>
      <c r="U30" s="12">
        <f t="shared" si="6"/>
        <v>1873.5719467085121</v>
      </c>
      <c r="W30" s="12">
        <f t="shared" si="6"/>
        <v>4683.0527664176398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2625.9707429424661</v>
      </c>
      <c r="AL30" s="12">
        <f>SUM(AL9:AL29)</f>
        <v>1050.3882971769867</v>
      </c>
      <c r="AM30" s="19" t="s">
        <v>82</v>
      </c>
      <c r="AO30" s="12">
        <f>SUM(AO8:AO29)</f>
        <v>4683.0527664176398</v>
      </c>
      <c r="AP30" s="12">
        <f>SUM(AP8:AP29)</f>
        <v>219</v>
      </c>
      <c r="AQ30" s="12">
        <f>SUM(AQ8:AQ29)</f>
        <v>1873.5719467085121</v>
      </c>
      <c r="AR30" s="12">
        <f>SUM(AR8:AR29)</f>
        <v>1050.3882971769867</v>
      </c>
      <c r="AS30" s="12">
        <f>SUM(AS8:AS29)</f>
        <v>1540.0925225321414</v>
      </c>
      <c r="AU30" s="15">
        <f>SUM(AU8:AU29)</f>
        <v>825.24822815922471</v>
      </c>
      <c r="AX30" s="16">
        <f>SUM(AX8:AX29)</f>
        <v>1.1022762750671766</v>
      </c>
      <c r="AZ30" s="12">
        <f t="shared" ref="AZ30:BE30" si="7">SUM(AZ8:AZ29)</f>
        <v>1540.0925225321414</v>
      </c>
      <c r="BA30" s="12">
        <f t="shared" si="7"/>
        <v>494.22707087600321</v>
      </c>
      <c r="BB30" s="12">
        <f t="shared" si="7"/>
        <v>204.97031595929172</v>
      </c>
      <c r="BC30" s="12">
        <f t="shared" si="7"/>
        <v>79.99219993043144</v>
      </c>
      <c r="BD30" s="12">
        <f t="shared" si="7"/>
        <v>11.481280850100811</v>
      </c>
      <c r="BE30" s="12">
        <f t="shared" si="7"/>
        <v>-31.590734366206512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825.24822815922471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0.84565702912404195</v>
      </c>
    </row>
    <row r="34" spans="45:48" ht="12" customHeight="1" thickBot="1" x14ac:dyDescent="0.25">
      <c r="AS34" s="75" t="s">
        <v>136</v>
      </c>
      <c r="AT34" s="76"/>
      <c r="AU34" s="77">
        <f>AX30</f>
        <v>1.1022762750671766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3.7682567495855008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C974-9BD0-4A30-9487-31CA429E85B2}">
  <dimension ref="A1:BM35"/>
  <sheetViews>
    <sheetView topLeftCell="A3" workbookViewId="0">
      <selection activeCell="AW10" sqref="AW10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'Cash Flow'!M8:S8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'Input&amp;Output'!$D$30*C9</f>
        <v>146</v>
      </c>
      <c r="G9" s="4">
        <f>'Input&amp;Output'!$D$30*D9</f>
        <v>219</v>
      </c>
      <c r="I9" s="4">
        <f>SUM(F9:G9)</f>
        <v>365</v>
      </c>
      <c r="M9" s="4" cm="1">
        <f t="array" ref="M9:U28">'Cash Flow'!M9:U28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v>46.482600000000005</v>
      </c>
      <c r="U9" s="4">
        <v>46.482600000000005</v>
      </c>
      <c r="W9" s="4" cm="1">
        <f t="array" ref="W9:W28">I9:I28</f>
        <v>365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296.61740000000003</v>
      </c>
      <c r="AL9" s="4">
        <f>AK9*('Input&amp;Output'!$D$32/100)</f>
        <v>118.64696000000002</v>
      </c>
      <c r="AM9" s="8"/>
      <c r="AN9" s="5"/>
      <c r="AO9" s="4" cm="1">
        <f t="array" ref="AO9:AO28">W9:W28</f>
        <v>365</v>
      </c>
      <c r="AQ9" s="4" cm="1">
        <f t="array" ref="AQ9:AQ28">AH9:AH28</f>
        <v>46.482600000000005</v>
      </c>
      <c r="AR9" s="4" cm="1">
        <f t="array" ref="AR9:AR28">AL9:AL28</f>
        <v>118.64696000000002</v>
      </c>
      <c r="AS9" s="4">
        <f t="shared" ref="AS9:AS28" si="0">AO9-AP9-AQ9-AR9</f>
        <v>199.87043999999997</v>
      </c>
      <c r="AU9" s="4">
        <f>AS9/(1+'Input&amp;Output'!$D$33/100)^A9</f>
        <v>181.70039999999997</v>
      </c>
      <c r="AW9" s="4">
        <f>AW8+AS9</f>
        <v>-19.129560000000026</v>
      </c>
      <c r="AX9" s="4">
        <f t="shared" ref="AX9:AX28" si="1">IF(AND(AW9&gt;0,AW8&lt;0),A8+ABS(AW8/AS9),0)</f>
        <v>0</v>
      </c>
      <c r="AZ9" s="4">
        <f t="shared" ref="AZ9:BE28" si="2">$AS9/(1+AZ$5)^$A9</f>
        <v>199.87043999999997</v>
      </c>
      <c r="BA9" s="4">
        <f t="shared" si="2"/>
        <v>166.55869999999999</v>
      </c>
      <c r="BB9" s="4">
        <f t="shared" si="2"/>
        <v>142.7646</v>
      </c>
      <c r="BC9" s="4">
        <f t="shared" si="2"/>
        <v>124.91902499999998</v>
      </c>
      <c r="BD9" s="4">
        <f t="shared" si="2"/>
        <v>111.03913333333331</v>
      </c>
      <c r="BE9" s="4">
        <f t="shared" si="2"/>
        <v>99.935219999999987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'Input&amp;Output'!$D$30*C10</f>
        <v>138.69999999999999</v>
      </c>
      <c r="G10" s="4">
        <f>'Input&amp;Output'!$D$30*D10</f>
        <v>208.05</v>
      </c>
      <c r="I10" s="4">
        <f t="shared" ref="I10:I28" si="3">SUM(F10:G10)</f>
        <v>346.75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v>49.619836000000006</v>
      </c>
      <c r="U10" s="4">
        <v>49.619836000000006</v>
      </c>
      <c r="W10" s="4">
        <v>346.75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4">MAX(0,W10-AH10-AG10)</f>
        <v>275.230164</v>
      </c>
      <c r="AL10" s="4">
        <f>AK10*('Input&amp;Output'!$D$32/100)</f>
        <v>110.09206560000001</v>
      </c>
      <c r="AM10" s="8"/>
      <c r="AN10" s="5"/>
      <c r="AO10" s="4">
        <v>346.75</v>
      </c>
      <c r="AQ10" s="4">
        <v>49.619836000000006</v>
      </c>
      <c r="AR10" s="4">
        <v>110.09206560000001</v>
      </c>
      <c r="AS10" s="4">
        <f t="shared" si="0"/>
        <v>187.03809839999997</v>
      </c>
      <c r="AU10" s="4">
        <f>AS10/(1+'Input&amp;Output'!$D$33/100)^A10</f>
        <v>154.57694082644622</v>
      </c>
      <c r="AW10" s="4">
        <f t="shared" ref="AW10:AW28" si="5">AW9+AS10</f>
        <v>167.90853839999994</v>
      </c>
      <c r="AX10" s="4">
        <f t="shared" si="1"/>
        <v>1.1022762750671766</v>
      </c>
      <c r="AZ10" s="4">
        <f t="shared" si="2"/>
        <v>187.03809839999997</v>
      </c>
      <c r="BA10" s="4">
        <f t="shared" si="2"/>
        <v>129.88756833333332</v>
      </c>
      <c r="BB10" s="4">
        <f t="shared" si="2"/>
        <v>95.427601224489791</v>
      </c>
      <c r="BC10" s="4">
        <f t="shared" si="2"/>
        <v>73.061757187499978</v>
      </c>
      <c r="BD10" s="4">
        <f t="shared" si="2"/>
        <v>57.727808148148135</v>
      </c>
      <c r="BE10" s="4">
        <f t="shared" si="2"/>
        <v>46.759524599999992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'Input&amp;Output'!$D$30*C11</f>
        <v>131.76499999999999</v>
      </c>
      <c r="G11" s="4">
        <f>'Input&amp;Output'!$D$30*D11</f>
        <v>197.64749999999998</v>
      </c>
      <c r="I11" s="4">
        <f t="shared" si="3"/>
        <v>329.41249999999997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v>52.976337360000002</v>
      </c>
      <c r="U11" s="4">
        <v>52.976337360000002</v>
      </c>
      <c r="W11" s="4">
        <v>329.41249999999997</v>
      </c>
      <c r="AG11" s="4">
        <f>IF(A11&lt;='Input&amp;Output'!$D$38,$K$8/'Input&amp;Output'!$D$38,0)</f>
        <v>21.9</v>
      </c>
      <c r="AH11" s="4">
        <v>52.976337360000002</v>
      </c>
      <c r="AK11" s="4">
        <f t="shared" si="4"/>
        <v>254.53616263999996</v>
      </c>
      <c r="AL11" s="4">
        <f>AK11*('Input&amp;Output'!$D$32/100)</f>
        <v>101.81446505599999</v>
      </c>
      <c r="AM11" s="8"/>
      <c r="AN11" s="5"/>
      <c r="AO11" s="4">
        <v>329.41249999999997</v>
      </c>
      <c r="AQ11" s="4">
        <v>52.976337360000002</v>
      </c>
      <c r="AR11" s="4">
        <v>101.81446505599999</v>
      </c>
      <c r="AS11" s="4">
        <f t="shared" si="0"/>
        <v>174.62169758399997</v>
      </c>
      <c r="AU11" s="4">
        <f>AS11/(1+'Input&amp;Output'!$D$33/100)^A11</f>
        <v>131.19586595341843</v>
      </c>
      <c r="AW11" s="4">
        <f t="shared" si="5"/>
        <v>342.53023598399989</v>
      </c>
      <c r="AX11" s="4">
        <f t="shared" si="1"/>
        <v>0</v>
      </c>
      <c r="AZ11" s="4">
        <f t="shared" si="2"/>
        <v>174.62169758399997</v>
      </c>
      <c r="BA11" s="4">
        <f t="shared" si="2"/>
        <v>101.05422313888887</v>
      </c>
      <c r="BB11" s="4">
        <f t="shared" si="2"/>
        <v>63.637644892128286</v>
      </c>
      <c r="BC11" s="4">
        <f t="shared" si="2"/>
        <v>42.632250386718731</v>
      </c>
      <c r="BD11" s="4">
        <f t="shared" si="2"/>
        <v>29.941992041152254</v>
      </c>
      <c r="BE11" s="4">
        <f t="shared" si="2"/>
        <v>21.827712197999997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'Input&amp;Output'!$D$30*C12</f>
        <v>125.17674999999998</v>
      </c>
      <c r="G12" s="4">
        <f>'Input&amp;Output'!$D$30*D12</f>
        <v>187.76512499999995</v>
      </c>
      <c r="I12" s="4">
        <f t="shared" si="3"/>
        <v>312.94187499999992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v>56.567804473600006</v>
      </c>
      <c r="U12" s="4">
        <v>56.567804473600006</v>
      </c>
      <c r="W12" s="4">
        <v>312.94187499999992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4"/>
        <v>234.47407052639991</v>
      </c>
      <c r="AL12" s="4">
        <f>AK12*('Input&amp;Output'!$D$32/100)</f>
        <v>93.789628210559968</v>
      </c>
      <c r="AM12" s="8"/>
      <c r="AN12" s="5"/>
      <c r="AO12" s="4">
        <v>312.94187499999992</v>
      </c>
      <c r="AQ12" s="4">
        <v>56.567804473600006</v>
      </c>
      <c r="AR12" s="4">
        <v>93.789628210559968</v>
      </c>
      <c r="AS12" s="4">
        <f t="shared" si="0"/>
        <v>162.58444231583996</v>
      </c>
      <c r="AU12" s="4">
        <f>AS12/(1+'Input&amp;Output'!$D$33/100)^A12</f>
        <v>111.04736173474484</v>
      </c>
      <c r="AW12" s="4">
        <f t="shared" si="5"/>
        <v>505.11467829983985</v>
      </c>
      <c r="AX12" s="4">
        <f t="shared" si="1"/>
        <v>0</v>
      </c>
      <c r="AZ12" s="4">
        <f t="shared" si="2"/>
        <v>162.58444231583996</v>
      </c>
      <c r="BA12" s="4">
        <f t="shared" si="2"/>
        <v>78.406849110648139</v>
      </c>
      <c r="BB12" s="4">
        <f t="shared" si="2"/>
        <v>42.322064326280717</v>
      </c>
      <c r="BC12" s="4">
        <f t="shared" si="2"/>
        <v>24.808417101415998</v>
      </c>
      <c r="BD12" s="4">
        <f t="shared" si="2"/>
        <v>15.487772663831727</v>
      </c>
      <c r="BE12" s="4">
        <f t="shared" si="2"/>
        <v>10.161527644739998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'Input&amp;Output'!$D$30*C13</f>
        <v>118.91791249999999</v>
      </c>
      <c r="G13" s="4">
        <f>'Input&amp;Output'!$D$30*D13</f>
        <v>178.37686875</v>
      </c>
      <c r="I13" s="4">
        <f t="shared" si="3"/>
        <v>297.29478124999997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v>60.411089279136007</v>
      </c>
      <c r="U13" s="4">
        <v>60.411089279136007</v>
      </c>
      <c r="W13" s="4">
        <v>297.29478124999997</v>
      </c>
      <c r="AG13" s="4">
        <f>IF(A13&lt;='Input&amp;Output'!$D$38,$K$8/'Input&amp;Output'!$D$38,0)</f>
        <v>21.9</v>
      </c>
      <c r="AH13" s="4">
        <v>60.411089279136007</v>
      </c>
      <c r="AK13" s="4">
        <f t="shared" si="4"/>
        <v>214.98369197086396</v>
      </c>
      <c r="AL13" s="4">
        <f>AK13*('Input&amp;Output'!$D$32/100)</f>
        <v>85.993476788345589</v>
      </c>
      <c r="AM13" s="8"/>
      <c r="AN13" s="5"/>
      <c r="AO13" s="4">
        <v>297.29478124999997</v>
      </c>
      <c r="AQ13" s="4">
        <v>60.411089279136007</v>
      </c>
      <c r="AR13" s="4">
        <v>85.993476788345589</v>
      </c>
      <c r="AS13" s="4">
        <f t="shared" si="0"/>
        <v>150.89021518251838</v>
      </c>
      <c r="AU13" s="4">
        <f>AS13/(1+'Input&amp;Output'!$D$33/100)^A13</f>
        <v>93.690952047809901</v>
      </c>
      <c r="AW13" s="4">
        <f t="shared" si="5"/>
        <v>656.00489348235828</v>
      </c>
      <c r="AX13" s="4">
        <f t="shared" si="1"/>
        <v>0</v>
      </c>
      <c r="AZ13" s="4">
        <f t="shared" si="2"/>
        <v>150.89021518251838</v>
      </c>
      <c r="BA13" s="4">
        <f t="shared" si="2"/>
        <v>60.639393318591814</v>
      </c>
      <c r="BB13" s="4">
        <f t="shared" si="2"/>
        <v>28.055686466672821</v>
      </c>
      <c r="BC13" s="4">
        <f t="shared" si="2"/>
        <v>14.390012281658009</v>
      </c>
      <c r="BD13" s="4">
        <f t="shared" si="2"/>
        <v>7.9854345110902774</v>
      </c>
      <c r="BE13" s="4">
        <f t="shared" si="2"/>
        <v>4.7153192244536992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'Input&amp;Output'!$D$30*C14</f>
        <v>112.97201687499998</v>
      </c>
      <c r="G14" s="4">
        <f>'Input&amp;Output'!$D$30*D14</f>
        <v>169.45802531249996</v>
      </c>
      <c r="I14" s="4">
        <f t="shared" si="3"/>
        <v>282.43004218749991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v>64.524282005803371</v>
      </c>
      <c r="U14" s="4">
        <v>64.524282005803371</v>
      </c>
      <c r="W14" s="4">
        <v>282.43004218749991</v>
      </c>
      <c r="AG14" s="4">
        <f>IF(A14&lt;='Input&amp;Output'!$D$38,$K$8/'Input&amp;Output'!$D$38,0)</f>
        <v>21.9</v>
      </c>
      <c r="AH14" s="4">
        <v>64.524282005803371</v>
      </c>
      <c r="AK14" s="4">
        <f t="shared" si="4"/>
        <v>196.00576018169653</v>
      </c>
      <c r="AL14" s="4">
        <f>AK14*('Input&amp;Output'!$D$32/100)</f>
        <v>78.402304072678618</v>
      </c>
      <c r="AM14" s="8"/>
      <c r="AN14" s="5"/>
      <c r="AO14" s="4">
        <v>282.43004218749991</v>
      </c>
      <c r="AQ14" s="4">
        <v>64.524282005803371</v>
      </c>
      <c r="AR14" s="4">
        <v>78.402304072678618</v>
      </c>
      <c r="AS14" s="4">
        <f t="shared" si="0"/>
        <v>139.50345610901792</v>
      </c>
      <c r="AU14" s="4">
        <f>AS14/(1+'Input&amp;Output'!$D$33/100)^A14</f>
        <v>78.746064125941956</v>
      </c>
      <c r="AW14" s="4">
        <f t="shared" si="5"/>
        <v>795.50834959137615</v>
      </c>
      <c r="AX14" s="4">
        <f t="shared" si="1"/>
        <v>0</v>
      </c>
      <c r="AZ14" s="4">
        <f t="shared" si="2"/>
        <v>139.50345610901792</v>
      </c>
      <c r="BA14" s="4">
        <f t="shared" si="2"/>
        <v>46.719425190830869</v>
      </c>
      <c r="BB14" s="4">
        <f t="shared" si="2"/>
        <v>18.527497060777449</v>
      </c>
      <c r="BC14" s="4">
        <f t="shared" si="2"/>
        <v>8.3150539463173061</v>
      </c>
      <c r="BD14" s="4">
        <f t="shared" si="2"/>
        <v>4.1015681923363161</v>
      </c>
      <c r="BE14" s="4">
        <f t="shared" si="2"/>
        <v>2.179741501703405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'Input&amp;Output'!$D$30*C15</f>
        <v>107.32341603124996</v>
      </c>
      <c r="G15" s="4">
        <f>'Input&amp;Output'!$D$30*D15</f>
        <v>160.98512404687494</v>
      </c>
      <c r="I15" s="4">
        <f t="shared" si="3"/>
        <v>268.30854007812491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v>68.926804653643131</v>
      </c>
      <c r="U15" s="4">
        <v>68.926804653643131</v>
      </c>
      <c r="W15" s="4">
        <v>268.30854007812491</v>
      </c>
      <c r="AG15" s="4">
        <f>IF(A15&lt;='Input&amp;Output'!$D$38,$K$8/'Input&amp;Output'!$D$38,0)</f>
        <v>21.9</v>
      </c>
      <c r="AH15" s="4">
        <v>68.926804653643131</v>
      </c>
      <c r="AK15" s="4">
        <f t="shared" si="4"/>
        <v>177.48173542448177</v>
      </c>
      <c r="AL15" s="4">
        <f>AK15*('Input&amp;Output'!$D$32/100)</f>
        <v>70.992694169792713</v>
      </c>
      <c r="AM15" s="8"/>
      <c r="AN15" s="5"/>
      <c r="AO15" s="4">
        <v>268.30854007812491</v>
      </c>
      <c r="AQ15" s="4">
        <v>68.926804653643131</v>
      </c>
      <c r="AR15" s="4">
        <v>70.992694169792713</v>
      </c>
      <c r="AS15" s="4">
        <f t="shared" si="0"/>
        <v>128.38904125468906</v>
      </c>
      <c r="AU15" s="4">
        <f>AS15/(1+'Input&amp;Output'!$D$33/100)^A15</f>
        <v>65.883878811700782</v>
      </c>
      <c r="AW15" s="4">
        <f t="shared" si="5"/>
        <v>923.89739084606526</v>
      </c>
      <c r="AX15" s="4">
        <f t="shared" si="1"/>
        <v>0</v>
      </c>
      <c r="AZ15" s="4">
        <f t="shared" si="2"/>
        <v>128.38904125468906</v>
      </c>
      <c r="BA15" s="4">
        <f t="shared" si="2"/>
        <v>35.831025120108109</v>
      </c>
      <c r="BB15" s="4">
        <f t="shared" si="2"/>
        <v>12.179562995523717</v>
      </c>
      <c r="BC15" s="4">
        <f t="shared" si="2"/>
        <v>4.7828644981491921</v>
      </c>
      <c r="BD15" s="4">
        <f t="shared" si="2"/>
        <v>2.0971061798691526</v>
      </c>
      <c r="BE15" s="4">
        <f t="shared" si="2"/>
        <v>1.0030393848022583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'Input&amp;Output'!$D$30*C16</f>
        <v>101.95724522968746</v>
      </c>
      <c r="G16" s="4">
        <f>'Input&amp;Output'!$D$30*D16</f>
        <v>152.93586784453117</v>
      </c>
      <c r="I16" s="4">
        <f t="shared" si="3"/>
        <v>254.89311307421863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v>73.63951174757122</v>
      </c>
      <c r="U16" s="4">
        <v>73.63951174757122</v>
      </c>
      <c r="W16" s="4">
        <v>254.89311307421863</v>
      </c>
      <c r="AG16" s="4">
        <f>IF(A16&lt;='Input&amp;Output'!$D$38,$K$8/'Input&amp;Output'!$D$38,0)</f>
        <v>21.9</v>
      </c>
      <c r="AH16" s="4">
        <v>73.63951174757122</v>
      </c>
      <c r="AK16" s="4">
        <f t="shared" si="4"/>
        <v>159.35360132664741</v>
      </c>
      <c r="AL16" s="4">
        <f>AK16*('Input&amp;Output'!$D$32/100)</f>
        <v>63.741440530658963</v>
      </c>
      <c r="AM16" s="8"/>
      <c r="AN16" s="5"/>
      <c r="AO16" s="4">
        <v>254.89311307421863</v>
      </c>
      <c r="AQ16" s="4">
        <v>73.63951174757122</v>
      </c>
      <c r="AR16" s="4">
        <v>63.741440530658963</v>
      </c>
      <c r="AS16" s="4">
        <f t="shared" si="0"/>
        <v>117.51216079598845</v>
      </c>
      <c r="AU16" s="4">
        <f>AS16/(1+'Input&amp;Output'!$D$33/100)^A16</f>
        <v>54.820290275721483</v>
      </c>
      <c r="AW16" s="4">
        <f t="shared" si="5"/>
        <v>1041.4095516420537</v>
      </c>
      <c r="AX16" s="4">
        <f t="shared" si="1"/>
        <v>0</v>
      </c>
      <c r="AZ16" s="4">
        <f t="shared" si="2"/>
        <v>117.51216079598845</v>
      </c>
      <c r="BA16" s="4">
        <f t="shared" si="2"/>
        <v>27.329572837442008</v>
      </c>
      <c r="BB16" s="4">
        <f t="shared" si="2"/>
        <v>7.9626665015727367</v>
      </c>
      <c r="BC16" s="4">
        <f t="shared" si="2"/>
        <v>2.7360432035286992</v>
      </c>
      <c r="BD16" s="4">
        <f t="shared" si="2"/>
        <v>1.0663573611317101</v>
      </c>
      <c r="BE16" s="4">
        <f t="shared" si="2"/>
        <v>0.45903187810932988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'Input&amp;Output'!$D$30*C17</f>
        <v>96.859382968203093</v>
      </c>
      <c r="G17" s="4">
        <f>'Input&amp;Output'!$D$30*D17</f>
        <v>145.28907445230462</v>
      </c>
      <c r="I17" s="4">
        <f t="shared" si="3"/>
        <v>242.14845742050773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v>78.684798950472654</v>
      </c>
      <c r="U17" s="4">
        <v>78.684798950472654</v>
      </c>
      <c r="W17" s="4">
        <v>242.14845742050773</v>
      </c>
      <c r="AG17" s="4">
        <f>IF(A17&lt;='Input&amp;Output'!$D$38,$K$8/'Input&amp;Output'!$D$38,0)</f>
        <v>21.9</v>
      </c>
      <c r="AH17" s="4">
        <v>78.684798950472654</v>
      </c>
      <c r="AK17" s="4">
        <f t="shared" si="4"/>
        <v>141.56365847003505</v>
      </c>
      <c r="AL17" s="4">
        <f>AK17*('Input&amp;Output'!$D$32/100)</f>
        <v>56.625463388014026</v>
      </c>
      <c r="AM17" s="8"/>
      <c r="AN17" s="5"/>
      <c r="AO17" s="4">
        <v>242.14845742050773</v>
      </c>
      <c r="AQ17" s="4">
        <v>78.684798950472654</v>
      </c>
      <c r="AR17" s="4">
        <v>56.625463388014026</v>
      </c>
      <c r="AS17" s="4">
        <f t="shared" si="0"/>
        <v>106.83819508202103</v>
      </c>
      <c r="AU17" s="4">
        <f>AS17/(1+'Input&amp;Output'!$D$33/100)^A17</f>
        <v>45.309824085500026</v>
      </c>
      <c r="AW17" s="4">
        <f t="shared" si="5"/>
        <v>1148.2477467240747</v>
      </c>
      <c r="AX17" s="4">
        <f t="shared" si="1"/>
        <v>0</v>
      </c>
      <c r="AZ17" s="4">
        <f t="shared" si="2"/>
        <v>106.83819508202103</v>
      </c>
      <c r="BA17" s="4">
        <f t="shared" si="2"/>
        <v>20.705957965945029</v>
      </c>
      <c r="BB17" s="4">
        <f t="shared" si="2"/>
        <v>5.1709962326186227</v>
      </c>
      <c r="BC17" s="4">
        <f t="shared" si="2"/>
        <v>1.5547003579852889</v>
      </c>
      <c r="BD17" s="4">
        <f t="shared" si="2"/>
        <v>0.53860948425361221</v>
      </c>
      <c r="BE17" s="4">
        <f t="shared" si="2"/>
        <v>0.20866834976957233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'Input&amp;Output'!$D$30*C18</f>
        <v>92.01641381979293</v>
      </c>
      <c r="G18" s="4">
        <f>'Input&amp;Output'!$D$30*D18</f>
        <v>138.02462072968939</v>
      </c>
      <c r="I18" s="4">
        <f t="shared" si="3"/>
        <v>230.04103454948233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v>84.086720169074482</v>
      </c>
      <c r="U18" s="4">
        <v>84.086720169074482</v>
      </c>
      <c r="W18" s="4">
        <v>230.04103454948233</v>
      </c>
      <c r="AG18" s="4">
        <f>IF(A18&lt;='Input&amp;Output'!$D$38,$K$8/'Input&amp;Output'!$D$38,0)</f>
        <v>21.9</v>
      </c>
      <c r="AH18" s="4">
        <v>84.086720169074482</v>
      </c>
      <c r="AK18" s="4">
        <f t="shared" si="4"/>
        <v>124.05431438040785</v>
      </c>
      <c r="AL18" s="4">
        <f>AK18*('Input&amp;Output'!$D$32/100)</f>
        <v>49.621725752163144</v>
      </c>
      <c r="AM18" s="8"/>
      <c r="AN18" s="5"/>
      <c r="AO18" s="4">
        <v>230.04103454948233</v>
      </c>
      <c r="AQ18" s="4">
        <v>84.086720169074482</v>
      </c>
      <c r="AR18" s="4">
        <v>49.621725752163144</v>
      </c>
      <c r="AS18" s="4">
        <f t="shared" si="0"/>
        <v>96.332588628244707</v>
      </c>
      <c r="AU18" s="4">
        <f>AS18/(1+'Input&amp;Output'!$D$33/100)^A18</f>
        <v>37.140383098995343</v>
      </c>
      <c r="AW18" s="4">
        <f t="shared" si="5"/>
        <v>1244.5803353523193</v>
      </c>
      <c r="AX18" s="4">
        <f t="shared" si="1"/>
        <v>0</v>
      </c>
      <c r="AZ18" s="4">
        <f t="shared" si="2"/>
        <v>96.332588628244707</v>
      </c>
      <c r="BA18" s="4">
        <f t="shared" si="2"/>
        <v>15.558250877692387</v>
      </c>
      <c r="BB18" s="4">
        <f t="shared" si="2"/>
        <v>3.3303729765814025</v>
      </c>
      <c r="BC18" s="4">
        <f t="shared" si="2"/>
        <v>0.87613978965459505</v>
      </c>
      <c r="BD18" s="4">
        <f t="shared" si="2"/>
        <v>0.26980387303353137</v>
      </c>
      <c r="BE18" s="4">
        <f t="shared" si="2"/>
        <v>9.4074793582270222E-2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'Input&amp;Output'!$D$30*C19</f>
        <v>87.41559312880328</v>
      </c>
      <c r="G19" s="4">
        <f>'Input&amp;Output'!$D$30*D19</f>
        <v>131.12338969320493</v>
      </c>
      <c r="I19" s="4">
        <f t="shared" si="3"/>
        <v>218.53898282200822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v>89.871113839195871</v>
      </c>
      <c r="U19" s="4">
        <v>89.871113839195871</v>
      </c>
      <c r="W19" s="4">
        <v>218.53898282200822</v>
      </c>
      <c r="AG19" s="4">
        <f>IF(A19&lt;='Input&amp;Output'!$D$38,$K$8/'Input&amp;Output'!$D$38,0)</f>
        <v>0</v>
      </c>
      <c r="AH19" s="4">
        <v>89.871113839195871</v>
      </c>
      <c r="AK19" s="4">
        <f t="shared" si="4"/>
        <v>128.66786898281237</v>
      </c>
      <c r="AL19" s="4">
        <f>AK19*('Input&amp;Output'!$D$32/100)</f>
        <v>51.467147593124949</v>
      </c>
      <c r="AM19" s="8"/>
      <c r="AN19" s="5"/>
      <c r="AO19" s="4">
        <v>218.53898282200822</v>
      </c>
      <c r="AQ19" s="4">
        <v>89.871113839195871</v>
      </c>
      <c r="AR19" s="4">
        <v>51.467147593124949</v>
      </c>
      <c r="AS19" s="4">
        <f t="shared" si="0"/>
        <v>77.200721389687416</v>
      </c>
      <c r="AU19" s="4">
        <f>AS19/(1+'Input&amp;Output'!$D$33/100)^A19</f>
        <v>27.058381882648067</v>
      </c>
      <c r="AW19" s="4">
        <f t="shared" si="5"/>
        <v>1321.7810567420067</v>
      </c>
      <c r="AX19" s="4">
        <f t="shared" si="1"/>
        <v>0</v>
      </c>
      <c r="AZ19" s="4">
        <f t="shared" si="2"/>
        <v>77.200721389687416</v>
      </c>
      <c r="BA19" s="4">
        <f t="shared" si="2"/>
        <v>10.390289589631708</v>
      </c>
      <c r="BB19" s="4">
        <f t="shared" si="2"/>
        <v>1.9063953327140297</v>
      </c>
      <c r="BC19" s="4">
        <f t="shared" si="2"/>
        <v>0.43883529423105377</v>
      </c>
      <c r="BD19" s="4">
        <f t="shared" si="2"/>
        <v>0.1201223451685082</v>
      </c>
      <c r="BE19" s="4">
        <f t="shared" si="2"/>
        <v>3.7695664741058309E-2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'Input&amp;Output'!$D$30*C20</f>
        <v>83.044813472363117</v>
      </c>
      <c r="G20" s="4">
        <f>'Input&amp;Output'!$D$30*D20</f>
        <v>124.56722020854468</v>
      </c>
      <c r="I20" s="4">
        <f t="shared" si="3"/>
        <v>207.61203368090781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v>96.065739134419545</v>
      </c>
      <c r="U20" s="4">
        <v>96.065739134419545</v>
      </c>
      <c r="W20" s="4">
        <v>207.61203368090781</v>
      </c>
      <c r="AG20" s="4">
        <f>IF(A20&lt;='Input&amp;Output'!$D$38,$K$8/'Input&amp;Output'!$D$38,0)</f>
        <v>0</v>
      </c>
      <c r="AH20" s="4">
        <v>96.065739134419545</v>
      </c>
      <c r="AK20" s="4">
        <f t="shared" si="4"/>
        <v>111.54629454648827</v>
      </c>
      <c r="AL20" s="4">
        <f>AK20*('Input&amp;Output'!$D$32/100)</f>
        <v>44.618517818595308</v>
      </c>
      <c r="AM20" s="8"/>
      <c r="AN20" s="5"/>
      <c r="AO20" s="4">
        <v>207.61203368090781</v>
      </c>
      <c r="AQ20" s="4">
        <v>96.065739134419545</v>
      </c>
      <c r="AR20" s="4">
        <v>44.618517818595308</v>
      </c>
      <c r="AS20" s="4">
        <f t="shared" si="0"/>
        <v>66.927776727892962</v>
      </c>
      <c r="AU20" s="4">
        <f>AS20/(1+'Input&amp;Output'!$D$33/100)^A20</f>
        <v>21.325252226344706</v>
      </c>
      <c r="AW20" s="4">
        <f t="shared" si="5"/>
        <v>1388.7088334698997</v>
      </c>
      <c r="AX20" s="4">
        <f t="shared" si="1"/>
        <v>0</v>
      </c>
      <c r="AZ20" s="4">
        <f t="shared" si="2"/>
        <v>66.927776727892962</v>
      </c>
      <c r="BA20" s="4">
        <f t="shared" si="2"/>
        <v>7.5063955499720878</v>
      </c>
      <c r="BB20" s="4">
        <f t="shared" si="2"/>
        <v>1.1805108154267436</v>
      </c>
      <c r="BC20" s="4">
        <f t="shared" si="2"/>
        <v>0.23777522787289082</v>
      </c>
      <c r="BD20" s="4">
        <f t="shared" si="2"/>
        <v>5.7854392439961627E-2</v>
      </c>
      <c r="BE20" s="4">
        <f t="shared" si="2"/>
        <v>1.6339789240208243E-2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'Input&amp;Output'!$D$30*C21</f>
        <v>78.892572798744965</v>
      </c>
      <c r="G21" s="4">
        <f>'Input&amp;Output'!$D$30*D21</f>
        <v>118.33885919811743</v>
      </c>
      <c r="I21" s="4">
        <f t="shared" si="3"/>
        <v>197.2314319968624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v>102.70042290464741</v>
      </c>
      <c r="U21" s="4">
        <v>102.70042290464741</v>
      </c>
      <c r="W21" s="4">
        <v>197.2314319968624</v>
      </c>
      <c r="AG21" s="4">
        <f>IF(A21&lt;='Input&amp;Output'!$D$38,$K$8/'Input&amp;Output'!$D$38,0)</f>
        <v>0</v>
      </c>
      <c r="AH21" s="4">
        <v>102.70042290464741</v>
      </c>
      <c r="AK21" s="4">
        <f t="shared" si="4"/>
        <v>94.531009092214987</v>
      </c>
      <c r="AL21" s="4">
        <f>AK21*('Input&amp;Output'!$D$32/100)</f>
        <v>37.812403636885996</v>
      </c>
      <c r="AM21" s="8"/>
      <c r="AN21" s="5"/>
      <c r="AO21" s="4">
        <v>197.2314319968624</v>
      </c>
      <c r="AQ21" s="4">
        <v>102.70042290464741</v>
      </c>
      <c r="AR21" s="4">
        <v>37.812403636885996</v>
      </c>
      <c r="AS21" s="4">
        <f t="shared" si="0"/>
        <v>56.718605455328991</v>
      </c>
      <c r="AU21" s="4">
        <f>AS21/(1+'Input&amp;Output'!$D$33/100)^A21</f>
        <v>16.429359668747786</v>
      </c>
      <c r="AW21" s="4">
        <f t="shared" si="5"/>
        <v>1445.4274389252287</v>
      </c>
      <c r="AX21" s="4">
        <f t="shared" si="1"/>
        <v>0</v>
      </c>
      <c r="AZ21" s="4">
        <f t="shared" si="2"/>
        <v>56.718605455328991</v>
      </c>
      <c r="BA21" s="4">
        <f t="shared" si="2"/>
        <v>5.301140876598434</v>
      </c>
      <c r="BB21" s="4">
        <f t="shared" si="2"/>
        <v>0.71459682201439889</v>
      </c>
      <c r="BC21" s="4">
        <f t="shared" si="2"/>
        <v>0.12594060340227234</v>
      </c>
      <c r="BD21" s="4">
        <f t="shared" si="2"/>
        <v>2.7238486844318455E-2</v>
      </c>
      <c r="BE21" s="4">
        <f t="shared" si="2"/>
        <v>6.9236578924962147E-3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'Input&amp;Output'!$D$30*C22</f>
        <v>74.947944158807701</v>
      </c>
      <c r="G22" s="4">
        <f>'Input&amp;Output'!$D$30*D22</f>
        <v>112.42191623821157</v>
      </c>
      <c r="I22" s="4">
        <f t="shared" si="3"/>
        <v>187.36986039701927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v>109.80721821883162</v>
      </c>
      <c r="U22" s="4">
        <v>109.80721821883162</v>
      </c>
      <c r="W22" s="4">
        <v>187.36986039701927</v>
      </c>
      <c r="AG22" s="4">
        <f>IF(A22&lt;='Input&amp;Output'!$D$38,$K$8/'Input&amp;Output'!$D$38,0)</f>
        <v>0</v>
      </c>
      <c r="AH22" s="4">
        <v>109.80721821883162</v>
      </c>
      <c r="AK22" s="4">
        <f t="shared" si="4"/>
        <v>77.562642178187645</v>
      </c>
      <c r="AL22" s="4">
        <f>AK22*('Input&amp;Output'!$D$32/100)</f>
        <v>31.025056871275059</v>
      </c>
      <c r="AM22" s="8"/>
      <c r="AN22" s="5"/>
      <c r="AO22" s="4">
        <v>187.36986039701927</v>
      </c>
      <c r="AQ22" s="4">
        <v>109.80721821883162</v>
      </c>
      <c r="AR22" s="4">
        <v>31.025056871275059</v>
      </c>
      <c r="AS22" s="4">
        <f t="shared" si="0"/>
        <v>46.53758530691259</v>
      </c>
      <c r="AU22" s="4">
        <f>AS22/(1+'Input&amp;Output'!$D$33/100)^A22</f>
        <v>12.25480071124548</v>
      </c>
      <c r="AW22" s="4">
        <f t="shared" si="5"/>
        <v>1491.9650242321413</v>
      </c>
      <c r="AX22" s="4">
        <f t="shared" si="1"/>
        <v>0</v>
      </c>
      <c r="AZ22" s="4">
        <f t="shared" si="2"/>
        <v>46.53758530691259</v>
      </c>
      <c r="BA22" s="4">
        <f t="shared" si="2"/>
        <v>3.6246527012340084</v>
      </c>
      <c r="BB22" s="4">
        <f t="shared" si="2"/>
        <v>0.41880450613002251</v>
      </c>
      <c r="BC22" s="4">
        <f t="shared" si="2"/>
        <v>6.4583873397739577E-2</v>
      </c>
      <c r="BD22" s="4">
        <f t="shared" si="2"/>
        <v>1.2416202124040097E-2</v>
      </c>
      <c r="BE22" s="4">
        <f t="shared" si="2"/>
        <v>2.8404287907051141E-3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'Input&amp;Output'!$D$30*C23</f>
        <v>71.20054695086732</v>
      </c>
      <c r="G23" s="4">
        <f>'Input&amp;Output'!$D$30*D23</f>
        <v>106.80082042630097</v>
      </c>
      <c r="I23" s="4">
        <f t="shared" si="3"/>
        <v>178.00136737716829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v>117.42057545990087</v>
      </c>
      <c r="U23" s="4">
        <v>117.42057545990087</v>
      </c>
      <c r="W23" s="4">
        <v>178.00136737716829</v>
      </c>
      <c r="AG23" s="4">
        <f>IF(A23&lt;='Input&amp;Output'!$D$38,$K$8/'Input&amp;Output'!$D$38,0)</f>
        <v>0</v>
      </c>
      <c r="AH23" s="4">
        <v>117.42057545990087</v>
      </c>
      <c r="AK23" s="4">
        <f t="shared" si="4"/>
        <v>60.580791917267419</v>
      </c>
      <c r="AL23" s="4">
        <f>AK23*('Input&amp;Output'!$D$32/100)</f>
        <v>24.232316766906969</v>
      </c>
      <c r="AM23" s="8"/>
      <c r="AN23" s="5"/>
      <c r="AO23" s="4">
        <v>178.00136737716829</v>
      </c>
      <c r="AQ23" s="4">
        <v>117.42057545990087</v>
      </c>
      <c r="AR23" s="4">
        <v>24.232316766906969</v>
      </c>
      <c r="AS23" s="4">
        <f t="shared" si="0"/>
        <v>36.34847515036045</v>
      </c>
      <c r="AU23" s="4">
        <f>AS23/(1+'Input&amp;Output'!$D$33/100)^A23</f>
        <v>8.7015359576888986</v>
      </c>
      <c r="AW23" s="4">
        <f t="shared" si="5"/>
        <v>1528.3134993825017</v>
      </c>
      <c r="AX23" s="4">
        <f t="shared" si="1"/>
        <v>0</v>
      </c>
      <c r="AZ23" s="4">
        <f t="shared" si="2"/>
        <v>36.34847515036045</v>
      </c>
      <c r="BA23" s="4">
        <f t="shared" si="2"/>
        <v>2.359214918626237</v>
      </c>
      <c r="BB23" s="4">
        <f t="shared" si="2"/>
        <v>0.23364993329787645</v>
      </c>
      <c r="BC23" s="4">
        <f t="shared" si="2"/>
        <v>3.1527276579644888E-2</v>
      </c>
      <c r="BD23" s="4">
        <f t="shared" si="2"/>
        <v>5.3876406372655753E-3</v>
      </c>
      <c r="BE23" s="4">
        <f t="shared" si="2"/>
        <v>1.1092674301257462E-3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'Input&amp;Output'!$D$30*C24</f>
        <v>67.640519603323952</v>
      </c>
      <c r="G24" s="4">
        <f>'Input&amp;Output'!$D$30*D24</f>
        <v>101.46077940498593</v>
      </c>
      <c r="I24" s="4">
        <f t="shared" si="3"/>
        <v>169.10129900830987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v>125.57752700005267</v>
      </c>
      <c r="U24" s="4">
        <v>125.57752700005267</v>
      </c>
      <c r="W24" s="4">
        <v>169.10129900830987</v>
      </c>
      <c r="AG24" s="4">
        <f>IF(A24&lt;='Input&amp;Output'!$D$38,$K$8/'Input&amp;Output'!$D$38,0)</f>
        <v>0</v>
      </c>
      <c r="AH24" s="4">
        <v>125.57752700005267</v>
      </c>
      <c r="AK24" s="4">
        <f t="shared" si="4"/>
        <v>43.523772008257197</v>
      </c>
      <c r="AL24" s="4">
        <f>AK24*('Input&amp;Output'!$D$32/100)</f>
        <v>17.409508803302881</v>
      </c>
      <c r="AM24" s="8"/>
      <c r="AN24" s="5"/>
      <c r="AO24" s="4">
        <v>169.10129900830987</v>
      </c>
      <c r="AQ24" s="4">
        <v>125.57752700005267</v>
      </c>
      <c r="AR24" s="4">
        <v>17.409508803302881</v>
      </c>
      <c r="AS24" s="4">
        <f t="shared" si="0"/>
        <v>26.114263204954316</v>
      </c>
      <c r="AU24" s="4">
        <f>AS24/(1+'Input&amp;Output'!$D$33/100)^A24</f>
        <v>5.6832245330906828</v>
      </c>
      <c r="AW24" s="4">
        <f t="shared" si="5"/>
        <v>1554.4277625874561</v>
      </c>
      <c r="AX24" s="4">
        <f t="shared" si="1"/>
        <v>0</v>
      </c>
      <c r="AZ24" s="4">
        <f t="shared" si="2"/>
        <v>26.114263204954316</v>
      </c>
      <c r="BA24" s="4">
        <f t="shared" si="2"/>
        <v>1.4124654722379621</v>
      </c>
      <c r="BB24" s="4">
        <f t="shared" si="2"/>
        <v>0.11990276720630109</v>
      </c>
      <c r="BC24" s="4">
        <f t="shared" si="2"/>
        <v>1.4156570449834847E-2</v>
      </c>
      <c r="BD24" s="4">
        <f t="shared" si="2"/>
        <v>2.1503922955847664E-3</v>
      </c>
      <c r="BE24" s="4">
        <f t="shared" si="2"/>
        <v>3.9847203376700311E-4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'Input&amp;Output'!$D$30*C25</f>
        <v>64.258493623157747</v>
      </c>
      <c r="G25" s="4">
        <f>'Input&amp;Output'!$D$30*D25</f>
        <v>96.387740434736614</v>
      </c>
      <c r="I25" s="4">
        <f t="shared" si="3"/>
        <v>160.64623405789436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v>134.31788657173794</v>
      </c>
      <c r="U25" s="4">
        <v>134.31788657173794</v>
      </c>
      <c r="W25" s="4">
        <v>160.64623405789436</v>
      </c>
      <c r="AG25" s="4">
        <f>IF(A25&lt;='Input&amp;Output'!$D$38,$K$8/'Input&amp;Output'!$D$38,0)</f>
        <v>0</v>
      </c>
      <c r="AH25" s="4">
        <v>134.31788657173794</v>
      </c>
      <c r="AK25" s="4">
        <f t="shared" si="4"/>
        <v>26.328347486156417</v>
      </c>
      <c r="AL25" s="4">
        <f>AK25*('Input&amp;Output'!$D$32/100)</f>
        <v>10.531338994462567</v>
      </c>
      <c r="AM25" s="8"/>
      <c r="AN25" s="5"/>
      <c r="AO25" s="4">
        <v>160.64623405789436</v>
      </c>
      <c r="AQ25" s="4">
        <v>134.31788657173794</v>
      </c>
      <c r="AR25" s="4">
        <v>10.531338994462567</v>
      </c>
      <c r="AS25" s="4">
        <f t="shared" si="0"/>
        <v>15.79700849169385</v>
      </c>
      <c r="AU25" s="4">
        <f>AS25/(1+'Input&amp;Output'!$D$33/100)^A25</f>
        <v>3.1253539146517912</v>
      </c>
      <c r="AW25" s="4">
        <f t="shared" si="5"/>
        <v>1570.2247710791498</v>
      </c>
      <c r="AX25" s="4">
        <f t="shared" si="1"/>
        <v>0</v>
      </c>
      <c r="AZ25" s="4">
        <f t="shared" si="2"/>
        <v>15.79700849169385</v>
      </c>
      <c r="BA25" s="4">
        <f t="shared" si="2"/>
        <v>0.71202241995906512</v>
      </c>
      <c r="BB25" s="4">
        <f t="shared" si="2"/>
        <v>5.1808169156719847E-2</v>
      </c>
      <c r="BC25" s="4">
        <f t="shared" si="2"/>
        <v>5.3522346642082509E-3</v>
      </c>
      <c r="BD25" s="4">
        <f t="shared" si="2"/>
        <v>7.2267372489590606E-4</v>
      </c>
      <c r="BE25" s="4">
        <f t="shared" si="2"/>
        <v>1.2052161019663887E-4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'Input&amp;Output'!$D$30*C26</f>
        <v>61.045568941999861</v>
      </c>
      <c r="G26" s="4">
        <f>'Input&amp;Output'!$D$30*D26</f>
        <v>91.568353412999798</v>
      </c>
      <c r="I26" s="4">
        <f t="shared" si="3"/>
        <v>152.61392235499966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v>143.68446454444995</v>
      </c>
      <c r="U26" s="4">
        <v>143.68446454444995</v>
      </c>
      <c r="W26" s="4">
        <v>152.61392235499966</v>
      </c>
      <c r="AG26" s="4">
        <f>IF(A26&lt;='Input&amp;Output'!$D$38,$K$8/'Input&amp;Output'!$D$38,0)</f>
        <v>0</v>
      </c>
      <c r="AH26" s="4">
        <v>143.68446454444995</v>
      </c>
      <c r="AK26" s="4">
        <f t="shared" si="4"/>
        <v>8.9294578105497067</v>
      </c>
      <c r="AL26" s="4">
        <f>AK26*('Input&amp;Output'!$D$32/100)</f>
        <v>3.5717831242198828</v>
      </c>
      <c r="AM26" s="8"/>
      <c r="AN26" s="5"/>
      <c r="AO26" s="4">
        <v>152.61392235499966</v>
      </c>
      <c r="AQ26" s="4">
        <v>143.68446454444995</v>
      </c>
      <c r="AR26" s="4">
        <v>3.5717831242198828</v>
      </c>
      <c r="AS26" s="4">
        <f t="shared" si="0"/>
        <v>5.3576746863298244</v>
      </c>
      <c r="AU26" s="4">
        <f>AS26/(1+'Input&amp;Output'!$D$33/100)^A26</f>
        <v>0.96362488581050798</v>
      </c>
      <c r="AW26" s="4">
        <f t="shared" si="5"/>
        <v>1575.5824457654796</v>
      </c>
      <c r="AX26" s="4">
        <f t="shared" si="1"/>
        <v>0</v>
      </c>
      <c r="AZ26" s="4">
        <f t="shared" si="2"/>
        <v>5.3576746863298244</v>
      </c>
      <c r="BA26" s="4">
        <f t="shared" si="2"/>
        <v>0.20123981583389772</v>
      </c>
      <c r="BB26" s="4">
        <f t="shared" si="2"/>
        <v>1.2550808346403052E-2</v>
      </c>
      <c r="BC26" s="4">
        <f t="shared" si="2"/>
        <v>1.1345317449979256E-3</v>
      </c>
      <c r="BD26" s="4">
        <f t="shared" si="2"/>
        <v>1.3616680526661878E-4</v>
      </c>
      <c r="BE26" s="4">
        <f t="shared" si="2"/>
        <v>2.0437906976050661E-5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'Input&amp;Output'!$D$30*C27</f>
        <v>57.993290494899867</v>
      </c>
      <c r="G27" s="4">
        <f>'Input&amp;Output'!$D$30*D27</f>
        <v>86.989935742349786</v>
      </c>
      <c r="I27" s="4">
        <f t="shared" si="3"/>
        <v>144.98322623724965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v>153.72330042053716</v>
      </c>
      <c r="U27" s="4">
        <v>153.72330042053716</v>
      </c>
      <c r="W27" s="4">
        <v>144.98322623724965</v>
      </c>
      <c r="AG27" s="4">
        <f>IF(A27&lt;='Input&amp;Output'!$D$38,$K$8/'Input&amp;Output'!$D$38,0)</f>
        <v>0</v>
      </c>
      <c r="AH27" s="4">
        <v>153.72330042053716</v>
      </c>
      <c r="AK27" s="4">
        <f t="shared" si="4"/>
        <v>0</v>
      </c>
      <c r="AL27" s="4">
        <f>AK27*('Input&amp;Output'!$D$32/100)</f>
        <v>0</v>
      </c>
      <c r="AM27" s="8"/>
      <c r="AN27" s="5"/>
      <c r="AO27" s="4">
        <v>144.98322623724965</v>
      </c>
      <c r="AQ27" s="4">
        <v>153.72330042053716</v>
      </c>
      <c r="AR27" s="4">
        <v>0</v>
      </c>
      <c r="AS27" s="4">
        <f t="shared" si="0"/>
        <v>-8.7400741832875042</v>
      </c>
      <c r="AU27" s="4">
        <f>AS27/(1+'Input&amp;Output'!$D$33/100)^A27</f>
        <v>-1.4290719693844081</v>
      </c>
      <c r="AW27" s="4">
        <f t="shared" si="5"/>
        <v>1566.8423715821921</v>
      </c>
      <c r="AX27" s="4">
        <f t="shared" si="1"/>
        <v>0</v>
      </c>
      <c r="AZ27" s="4">
        <f t="shared" si="2"/>
        <v>-8.7400741832875042</v>
      </c>
      <c r="BA27" s="4">
        <f t="shared" si="2"/>
        <v>-0.27357187305951841</v>
      </c>
      <c r="BB27" s="4">
        <f t="shared" si="2"/>
        <v>-1.4624547618934497E-2</v>
      </c>
      <c r="BC27" s="4">
        <f t="shared" si="2"/>
        <v>-1.1567391866705034E-3</v>
      </c>
      <c r="BD27" s="4">
        <f t="shared" si="2"/>
        <v>-1.2340635412515883E-4</v>
      </c>
      <c r="BE27" s="4">
        <f t="shared" si="2"/>
        <v>-1.6670368544173249E-5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'Input&amp;Output'!$D$30*C28</f>
        <v>55.093625970154875</v>
      </c>
      <c r="G28" s="4">
        <f>'Input&amp;Output'!$D$30*D28</f>
        <v>82.640438955232312</v>
      </c>
      <c r="H28" s="11"/>
      <c r="I28" s="4">
        <f t="shared" si="3"/>
        <v>137.7340649253872</v>
      </c>
      <c r="M28" s="11">
        <v>1.4859473959783542</v>
      </c>
      <c r="N28" s="11">
        <v>7.9598931154332622</v>
      </c>
      <c r="O28" s="11">
        <v>16.035677361064241</v>
      </c>
      <c r="P28" s="11">
        <v>0.43926841438126812</v>
      </c>
      <c r="Q28" s="11">
        <v>14.733224889023084</v>
      </c>
      <c r="R28" s="11">
        <v>7.739368924972359</v>
      </c>
      <c r="S28" s="11">
        <v>116.09053387458539</v>
      </c>
      <c r="T28" s="11">
        <v>164.48391397543796</v>
      </c>
      <c r="U28" s="11">
        <v>164.48391397543796</v>
      </c>
      <c r="W28" s="11">
        <v>137.7340649253872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4"/>
        <v>0</v>
      </c>
      <c r="AL28" s="4">
        <f>AK28*('Input&amp;Output'!$D$32/100)</f>
        <v>0</v>
      </c>
      <c r="AM28" s="18"/>
      <c r="AN28" s="5"/>
      <c r="AO28" s="11">
        <v>137.7340649253872</v>
      </c>
      <c r="AP28" s="11"/>
      <c r="AQ28" s="11">
        <v>164.48391397543796</v>
      </c>
      <c r="AR28" s="11">
        <v>0</v>
      </c>
      <c r="AS28" s="4">
        <f t="shared" si="0"/>
        <v>-26.749849050050756</v>
      </c>
      <c r="AU28" s="4">
        <f>AS28/(1+'Input&amp;Output'!$D$33/100)^A28</f>
        <v>-3.9761946118977325</v>
      </c>
      <c r="AV28" s="14"/>
      <c r="AW28" s="4">
        <f t="shared" si="5"/>
        <v>1540.0925225321414</v>
      </c>
      <c r="AX28" s="4">
        <f t="shared" si="1"/>
        <v>0</v>
      </c>
      <c r="AZ28" s="4">
        <f t="shared" si="2"/>
        <v>-26.749849050050756</v>
      </c>
      <c r="BA28" s="4">
        <f t="shared" si="2"/>
        <v>-0.69774448851122894</v>
      </c>
      <c r="BB28" s="4">
        <f t="shared" si="2"/>
        <v>-3.1971324027352567E-2</v>
      </c>
      <c r="BC28" s="4">
        <f t="shared" si="2"/>
        <v>-2.2126956522921962E-3</v>
      </c>
      <c r="BD28" s="4">
        <f t="shared" si="2"/>
        <v>-2.0983176492797136E-4</v>
      </c>
      <c r="BE28" s="4">
        <f t="shared" si="2"/>
        <v>-2.551064400677753E-5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2809.8316598505835</v>
      </c>
      <c r="I30" s="12">
        <f>SUM(I9:I29)</f>
        <v>4683.0527664176398</v>
      </c>
      <c r="M30" s="12">
        <f t="shared" ref="M30:W30" si="6">SUM(M9:M29)</f>
        <v>24.783317194896075</v>
      </c>
      <c r="N30" s="12">
        <f t="shared" si="6"/>
        <v>104.15775542409848</v>
      </c>
      <c r="O30" s="12">
        <f t="shared" si="6"/>
        <v>194.9636333788014</v>
      </c>
      <c r="P30" s="12">
        <f t="shared" si="6"/>
        <v>8.0061098525080752</v>
      </c>
      <c r="Q30" s="12">
        <f t="shared" si="6"/>
        <v>137.97547377925386</v>
      </c>
      <c r="R30" s="12">
        <f t="shared" si="6"/>
        <v>87.730353567434619</v>
      </c>
      <c r="S30" s="12">
        <f t="shared" si="6"/>
        <v>1315.9553035115193</v>
      </c>
      <c r="U30" s="12">
        <f t="shared" si="6"/>
        <v>1873.5719467085121</v>
      </c>
      <c r="W30" s="12">
        <f t="shared" si="6"/>
        <v>4683.0527664176398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2625.9707429424661</v>
      </c>
      <c r="AL30" s="12">
        <f>SUM(AL9:AL29)</f>
        <v>1050.3882971769867</v>
      </c>
      <c r="AM30" s="19" t="s">
        <v>82</v>
      </c>
      <c r="AO30" s="12">
        <f>SUM(AO8:AO29)</f>
        <v>4683.0527664176398</v>
      </c>
      <c r="AP30" s="12">
        <f>SUM(AP8:AP29)</f>
        <v>219</v>
      </c>
      <c r="AQ30" s="12">
        <f>SUM(AQ8:AQ29)</f>
        <v>1873.5719467085121</v>
      </c>
      <c r="AR30" s="12">
        <f>SUM(AR8:AR29)</f>
        <v>1050.3882971769867</v>
      </c>
      <c r="AS30" s="12">
        <f>SUM(AS8:AS29)</f>
        <v>1540.0925225321414</v>
      </c>
      <c r="AU30" s="15">
        <f>SUM(AU8:AU29)</f>
        <v>825.24822815922471</v>
      </c>
      <c r="AX30" s="16">
        <f>SUM(AX8:AX29)</f>
        <v>1.1022762750671766</v>
      </c>
      <c r="AZ30" s="12">
        <f t="shared" ref="AZ30:BE30" si="7">SUM(AZ8:AZ29)</f>
        <v>1540.0925225321414</v>
      </c>
      <c r="BA30" s="12">
        <f t="shared" si="7"/>
        <v>494.22707087600321</v>
      </c>
      <c r="BB30" s="12">
        <f t="shared" si="7"/>
        <v>204.97031595929172</v>
      </c>
      <c r="BC30" s="12">
        <f t="shared" si="7"/>
        <v>79.99219993043144</v>
      </c>
      <c r="BD30" s="12">
        <f t="shared" si="7"/>
        <v>11.481280850100811</v>
      </c>
      <c r="BE30" s="12">
        <f t="shared" si="7"/>
        <v>-31.590734366206512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825.24822815922471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0.84565702912404195</v>
      </c>
    </row>
    <row r="34" spans="45:48" ht="12" customHeight="1" thickBot="1" x14ac:dyDescent="0.25">
      <c r="AS34" s="75" t="s">
        <v>136</v>
      </c>
      <c r="AT34" s="76"/>
      <c r="AU34" s="77">
        <f>AX30</f>
        <v>1.1022762750671766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3.7682567495855008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CF98-40AC-4AB7-A357-4258FC9FC22E}">
  <dimension ref="A1:BM35"/>
  <sheetViews>
    <sheetView topLeftCell="F3" workbookViewId="0">
      <selection activeCell="AG10" sqref="AG10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'Capex=max'!M8:S8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'Input&amp;Output'!$D$30*C9</f>
        <v>146</v>
      </c>
      <c r="G9" s="4">
        <f>'Input&amp;Output'!$D$30*D9</f>
        <v>219</v>
      </c>
      <c r="I9" s="4">
        <f>SUM(F9:G9)</f>
        <v>365</v>
      </c>
      <c r="M9" s="4" cm="1">
        <f t="array" ref="M9:U28">'Capex=max'!M9:U28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v>46.482600000000005</v>
      </c>
      <c r="U9" s="4">
        <v>46.482600000000005</v>
      </c>
      <c r="W9" s="4" cm="1">
        <f t="array" ref="W9:W28">I9:I28</f>
        <v>365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296.61740000000003</v>
      </c>
      <c r="AL9" s="4">
        <f>AK9*('Input&amp;Output'!$D$32/100)</f>
        <v>118.64696000000002</v>
      </c>
      <c r="AM9" s="8"/>
      <c r="AN9" s="5"/>
      <c r="AO9" s="4" cm="1">
        <f t="array" ref="AO9:AO28">W9:W28</f>
        <v>365</v>
      </c>
      <c r="AQ9" s="4" cm="1">
        <f t="array" ref="AQ9:AQ28">AH9:AH28</f>
        <v>46.482600000000005</v>
      </c>
      <c r="AR9" s="4" cm="1">
        <f t="array" ref="AR9:AR28">AL9:AL28</f>
        <v>118.64696000000002</v>
      </c>
      <c r="AS9" s="4">
        <f t="shared" ref="AS9:AS28" si="0">AO9-AP9-AQ9-AR9</f>
        <v>199.87043999999997</v>
      </c>
      <c r="AU9" s="4">
        <f>AS9/(1+'Input&amp;Output'!$D$33/100)^A9</f>
        <v>181.70039999999997</v>
      </c>
      <c r="AW9" s="4">
        <f>AW8+AS9</f>
        <v>-19.129560000000026</v>
      </c>
      <c r="AX9" s="4">
        <f t="shared" ref="AX9:AX28" si="1">IF(AND(AW9&gt;0,AW8&lt;0),A8+ABS(AW8/AS9),0)</f>
        <v>0</v>
      </c>
      <c r="AZ9" s="4">
        <f t="shared" ref="AZ9:BE28" si="2">$AS9/(1+AZ$5)^$A9</f>
        <v>199.87043999999997</v>
      </c>
      <c r="BA9" s="4">
        <f t="shared" si="2"/>
        <v>166.55869999999999</v>
      </c>
      <c r="BB9" s="4">
        <f t="shared" si="2"/>
        <v>142.7646</v>
      </c>
      <c r="BC9" s="4">
        <f t="shared" si="2"/>
        <v>124.91902499999998</v>
      </c>
      <c r="BD9" s="4">
        <f t="shared" si="2"/>
        <v>111.03913333333331</v>
      </c>
      <c r="BE9" s="4">
        <f t="shared" si="2"/>
        <v>99.935219999999987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'Input&amp;Output'!$D$30*C10</f>
        <v>138.69999999999999</v>
      </c>
      <c r="G10" s="4">
        <f>'Input&amp;Output'!$D$30*D10</f>
        <v>208.05</v>
      </c>
      <c r="I10" s="4">
        <f t="shared" ref="I10:I28" si="3">SUM(F10:G10)</f>
        <v>346.75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v>49.619836000000006</v>
      </c>
      <c r="U10" s="4">
        <v>49.619836000000006</v>
      </c>
      <c r="W10" s="4">
        <v>346.75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4">MAX(0,W10-AH10-AG10)</f>
        <v>275.230164</v>
      </c>
      <c r="AL10" s="4">
        <f>AK10*('Input&amp;Output'!$D$32/100)</f>
        <v>110.09206560000001</v>
      </c>
      <c r="AM10" s="8"/>
      <c r="AN10" s="5"/>
      <c r="AO10" s="4">
        <v>346.75</v>
      </c>
      <c r="AQ10" s="4">
        <v>49.619836000000006</v>
      </c>
      <c r="AR10" s="4">
        <v>110.09206560000001</v>
      </c>
      <c r="AS10" s="4">
        <f t="shared" si="0"/>
        <v>187.03809839999997</v>
      </c>
      <c r="AU10" s="4">
        <f>AS10/(1+'Input&amp;Output'!$D$33/100)^A10</f>
        <v>154.57694082644622</v>
      </c>
      <c r="AW10" s="4">
        <f t="shared" ref="AW10:AW28" si="5">AW9+AS10</f>
        <v>167.90853839999994</v>
      </c>
      <c r="AX10" s="4">
        <f t="shared" si="1"/>
        <v>1.1022762750671766</v>
      </c>
      <c r="AZ10" s="4">
        <f t="shared" si="2"/>
        <v>187.03809839999997</v>
      </c>
      <c r="BA10" s="4">
        <f t="shared" si="2"/>
        <v>129.88756833333332</v>
      </c>
      <c r="BB10" s="4">
        <f t="shared" si="2"/>
        <v>95.427601224489791</v>
      </c>
      <c r="BC10" s="4">
        <f t="shared" si="2"/>
        <v>73.061757187499978</v>
      </c>
      <c r="BD10" s="4">
        <f t="shared" si="2"/>
        <v>57.727808148148135</v>
      </c>
      <c r="BE10" s="4">
        <f t="shared" si="2"/>
        <v>46.759524599999992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'Input&amp;Output'!$D$30*C11</f>
        <v>131.76499999999999</v>
      </c>
      <c r="G11" s="4">
        <f>'Input&amp;Output'!$D$30*D11</f>
        <v>197.64749999999998</v>
      </c>
      <c r="I11" s="4">
        <f t="shared" si="3"/>
        <v>329.41249999999997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v>52.976337360000002</v>
      </c>
      <c r="U11" s="4">
        <v>52.976337360000002</v>
      </c>
      <c r="W11" s="4">
        <v>329.41249999999997</v>
      </c>
      <c r="AG11" s="4">
        <f>IF(A11&lt;='Input&amp;Output'!$D$38,$K$8/'Input&amp;Output'!$D$38,0)</f>
        <v>21.9</v>
      </c>
      <c r="AH11" s="4">
        <v>52.976337360000002</v>
      </c>
      <c r="AK11" s="4">
        <f t="shared" si="4"/>
        <v>254.53616263999996</v>
      </c>
      <c r="AL11" s="4">
        <f>AK11*('Input&amp;Output'!$D$32/100)</f>
        <v>101.81446505599999</v>
      </c>
      <c r="AM11" s="8"/>
      <c r="AN11" s="5"/>
      <c r="AO11" s="4">
        <v>329.41249999999997</v>
      </c>
      <c r="AQ11" s="4">
        <v>52.976337360000002</v>
      </c>
      <c r="AR11" s="4">
        <v>101.81446505599999</v>
      </c>
      <c r="AS11" s="4">
        <f t="shared" si="0"/>
        <v>174.62169758399997</v>
      </c>
      <c r="AU11" s="4">
        <f>AS11/(1+'Input&amp;Output'!$D$33/100)^A11</f>
        <v>131.19586595341843</v>
      </c>
      <c r="AW11" s="4">
        <f t="shared" si="5"/>
        <v>342.53023598399989</v>
      </c>
      <c r="AX11" s="4">
        <f t="shared" si="1"/>
        <v>0</v>
      </c>
      <c r="AZ11" s="4">
        <f t="shared" si="2"/>
        <v>174.62169758399997</v>
      </c>
      <c r="BA11" s="4">
        <f t="shared" si="2"/>
        <v>101.05422313888887</v>
      </c>
      <c r="BB11" s="4">
        <f t="shared" si="2"/>
        <v>63.637644892128286</v>
      </c>
      <c r="BC11" s="4">
        <f t="shared" si="2"/>
        <v>42.632250386718731</v>
      </c>
      <c r="BD11" s="4">
        <f t="shared" si="2"/>
        <v>29.941992041152254</v>
      </c>
      <c r="BE11" s="4">
        <f t="shared" si="2"/>
        <v>21.827712197999997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'Input&amp;Output'!$D$30*C12</f>
        <v>125.17674999999998</v>
      </c>
      <c r="G12" s="4">
        <f>'Input&amp;Output'!$D$30*D12</f>
        <v>187.76512499999995</v>
      </c>
      <c r="I12" s="4">
        <f t="shared" si="3"/>
        <v>312.94187499999992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v>56.567804473600006</v>
      </c>
      <c r="U12" s="4">
        <v>56.567804473600006</v>
      </c>
      <c r="W12" s="4">
        <v>312.94187499999992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4"/>
        <v>234.47407052639991</v>
      </c>
      <c r="AL12" s="4">
        <f>AK12*('Input&amp;Output'!$D$32/100)</f>
        <v>93.789628210559968</v>
      </c>
      <c r="AM12" s="8"/>
      <c r="AN12" s="5"/>
      <c r="AO12" s="4">
        <v>312.94187499999992</v>
      </c>
      <c r="AQ12" s="4">
        <v>56.567804473600006</v>
      </c>
      <c r="AR12" s="4">
        <v>93.789628210559968</v>
      </c>
      <c r="AS12" s="4">
        <f t="shared" si="0"/>
        <v>162.58444231583996</v>
      </c>
      <c r="AU12" s="4">
        <f>AS12/(1+'Input&amp;Output'!$D$33/100)^A12</f>
        <v>111.04736173474484</v>
      </c>
      <c r="AW12" s="4">
        <f t="shared" si="5"/>
        <v>505.11467829983985</v>
      </c>
      <c r="AX12" s="4">
        <f t="shared" si="1"/>
        <v>0</v>
      </c>
      <c r="AZ12" s="4">
        <f t="shared" si="2"/>
        <v>162.58444231583996</v>
      </c>
      <c r="BA12" s="4">
        <f t="shared" si="2"/>
        <v>78.406849110648139</v>
      </c>
      <c r="BB12" s="4">
        <f t="shared" si="2"/>
        <v>42.322064326280717</v>
      </c>
      <c r="BC12" s="4">
        <f t="shared" si="2"/>
        <v>24.808417101415998</v>
      </c>
      <c r="BD12" s="4">
        <f t="shared" si="2"/>
        <v>15.487772663831727</v>
      </c>
      <c r="BE12" s="4">
        <f t="shared" si="2"/>
        <v>10.161527644739998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'Input&amp;Output'!$D$30*C13</f>
        <v>118.91791249999999</v>
      </c>
      <c r="G13" s="4">
        <f>'Input&amp;Output'!$D$30*D13</f>
        <v>178.37686875</v>
      </c>
      <c r="I13" s="4">
        <f t="shared" si="3"/>
        <v>297.29478124999997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v>60.411089279136007</v>
      </c>
      <c r="U13" s="4">
        <v>60.411089279136007</v>
      </c>
      <c r="W13" s="4">
        <v>297.29478124999997</v>
      </c>
      <c r="AG13" s="4">
        <f>IF(A13&lt;='Input&amp;Output'!$D$38,$K$8/'Input&amp;Output'!$D$38,0)</f>
        <v>21.9</v>
      </c>
      <c r="AH13" s="4">
        <v>60.411089279136007</v>
      </c>
      <c r="AK13" s="4">
        <f t="shared" si="4"/>
        <v>214.98369197086396</v>
      </c>
      <c r="AL13" s="4">
        <f>AK13*('Input&amp;Output'!$D$32/100)</f>
        <v>85.993476788345589</v>
      </c>
      <c r="AM13" s="8"/>
      <c r="AN13" s="5"/>
      <c r="AO13" s="4">
        <v>297.29478124999997</v>
      </c>
      <c r="AQ13" s="4">
        <v>60.411089279136007</v>
      </c>
      <c r="AR13" s="4">
        <v>85.993476788345589</v>
      </c>
      <c r="AS13" s="4">
        <f t="shared" si="0"/>
        <v>150.89021518251838</v>
      </c>
      <c r="AU13" s="4">
        <f>AS13/(1+'Input&amp;Output'!$D$33/100)^A13</f>
        <v>93.690952047809901</v>
      </c>
      <c r="AW13" s="4">
        <f t="shared" si="5"/>
        <v>656.00489348235828</v>
      </c>
      <c r="AX13" s="4">
        <f t="shared" si="1"/>
        <v>0</v>
      </c>
      <c r="AZ13" s="4">
        <f t="shared" si="2"/>
        <v>150.89021518251838</v>
      </c>
      <c r="BA13" s="4">
        <f t="shared" si="2"/>
        <v>60.639393318591814</v>
      </c>
      <c r="BB13" s="4">
        <f t="shared" si="2"/>
        <v>28.055686466672821</v>
      </c>
      <c r="BC13" s="4">
        <f t="shared" si="2"/>
        <v>14.390012281658009</v>
      </c>
      <c r="BD13" s="4">
        <f t="shared" si="2"/>
        <v>7.9854345110902774</v>
      </c>
      <c r="BE13" s="4">
        <f t="shared" si="2"/>
        <v>4.7153192244536992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'Input&amp;Output'!$D$30*C14</f>
        <v>112.97201687499998</v>
      </c>
      <c r="G14" s="4">
        <f>'Input&amp;Output'!$D$30*D14</f>
        <v>169.45802531249996</v>
      </c>
      <c r="I14" s="4">
        <f t="shared" si="3"/>
        <v>282.43004218749991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v>64.524282005803371</v>
      </c>
      <c r="U14" s="4">
        <v>64.524282005803371</v>
      </c>
      <c r="W14" s="4">
        <v>282.43004218749991</v>
      </c>
      <c r="AG14" s="4">
        <f>IF(A14&lt;='Input&amp;Output'!$D$38,$K$8/'Input&amp;Output'!$D$38,0)</f>
        <v>21.9</v>
      </c>
      <c r="AH14" s="4">
        <v>64.524282005803371</v>
      </c>
      <c r="AK14" s="4">
        <f t="shared" si="4"/>
        <v>196.00576018169653</v>
      </c>
      <c r="AL14" s="4">
        <f>AK14*('Input&amp;Output'!$D$32/100)</f>
        <v>78.402304072678618</v>
      </c>
      <c r="AM14" s="8"/>
      <c r="AN14" s="5"/>
      <c r="AO14" s="4">
        <v>282.43004218749991</v>
      </c>
      <c r="AQ14" s="4">
        <v>64.524282005803371</v>
      </c>
      <c r="AR14" s="4">
        <v>78.402304072678618</v>
      </c>
      <c r="AS14" s="4">
        <f t="shared" si="0"/>
        <v>139.50345610901792</v>
      </c>
      <c r="AU14" s="4">
        <f>AS14/(1+'Input&amp;Output'!$D$33/100)^A14</f>
        <v>78.746064125941956</v>
      </c>
      <c r="AW14" s="4">
        <f t="shared" si="5"/>
        <v>795.50834959137615</v>
      </c>
      <c r="AX14" s="4">
        <f t="shared" si="1"/>
        <v>0</v>
      </c>
      <c r="AZ14" s="4">
        <f t="shared" si="2"/>
        <v>139.50345610901792</v>
      </c>
      <c r="BA14" s="4">
        <f t="shared" si="2"/>
        <v>46.719425190830869</v>
      </c>
      <c r="BB14" s="4">
        <f t="shared" si="2"/>
        <v>18.527497060777449</v>
      </c>
      <c r="BC14" s="4">
        <f t="shared" si="2"/>
        <v>8.3150539463173061</v>
      </c>
      <c r="BD14" s="4">
        <f t="shared" si="2"/>
        <v>4.1015681923363161</v>
      </c>
      <c r="BE14" s="4">
        <f t="shared" si="2"/>
        <v>2.179741501703405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'Input&amp;Output'!$D$30*C15</f>
        <v>107.32341603124996</v>
      </c>
      <c r="G15" s="4">
        <f>'Input&amp;Output'!$D$30*D15</f>
        <v>160.98512404687494</v>
      </c>
      <c r="I15" s="4">
        <f t="shared" si="3"/>
        <v>268.30854007812491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v>68.926804653643131</v>
      </c>
      <c r="U15" s="4">
        <v>68.926804653643131</v>
      </c>
      <c r="W15" s="4">
        <v>268.30854007812491</v>
      </c>
      <c r="AG15" s="4">
        <f>IF(A15&lt;='Input&amp;Output'!$D$38,$K$8/'Input&amp;Output'!$D$38,0)</f>
        <v>21.9</v>
      </c>
      <c r="AH15" s="4">
        <v>68.926804653643131</v>
      </c>
      <c r="AK15" s="4">
        <f t="shared" si="4"/>
        <v>177.48173542448177</v>
      </c>
      <c r="AL15" s="4">
        <f>AK15*('Input&amp;Output'!$D$32/100)</f>
        <v>70.992694169792713</v>
      </c>
      <c r="AM15" s="8"/>
      <c r="AN15" s="5"/>
      <c r="AO15" s="4">
        <v>268.30854007812491</v>
      </c>
      <c r="AQ15" s="4">
        <v>68.926804653643131</v>
      </c>
      <c r="AR15" s="4">
        <v>70.992694169792713</v>
      </c>
      <c r="AS15" s="4">
        <f t="shared" si="0"/>
        <v>128.38904125468906</v>
      </c>
      <c r="AU15" s="4">
        <f>AS15/(1+'Input&amp;Output'!$D$33/100)^A15</f>
        <v>65.883878811700782</v>
      </c>
      <c r="AW15" s="4">
        <f t="shared" si="5"/>
        <v>923.89739084606526</v>
      </c>
      <c r="AX15" s="4">
        <f t="shared" si="1"/>
        <v>0</v>
      </c>
      <c r="AZ15" s="4">
        <f t="shared" si="2"/>
        <v>128.38904125468906</v>
      </c>
      <c r="BA15" s="4">
        <f t="shared" si="2"/>
        <v>35.831025120108109</v>
      </c>
      <c r="BB15" s="4">
        <f t="shared" si="2"/>
        <v>12.179562995523717</v>
      </c>
      <c r="BC15" s="4">
        <f t="shared" si="2"/>
        <v>4.7828644981491921</v>
      </c>
      <c r="BD15" s="4">
        <f t="shared" si="2"/>
        <v>2.0971061798691526</v>
      </c>
      <c r="BE15" s="4">
        <f t="shared" si="2"/>
        <v>1.0030393848022583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'Input&amp;Output'!$D$30*C16</f>
        <v>101.95724522968746</v>
      </c>
      <c r="G16" s="4">
        <f>'Input&amp;Output'!$D$30*D16</f>
        <v>152.93586784453117</v>
      </c>
      <c r="I16" s="4">
        <f t="shared" si="3"/>
        <v>254.89311307421863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v>73.63951174757122</v>
      </c>
      <c r="U16" s="4">
        <v>73.63951174757122</v>
      </c>
      <c r="W16" s="4">
        <v>254.89311307421863</v>
      </c>
      <c r="AG16" s="4">
        <f>IF(A16&lt;='Input&amp;Output'!$D$38,$K$8/'Input&amp;Output'!$D$38,0)</f>
        <v>21.9</v>
      </c>
      <c r="AH16" s="4">
        <v>73.63951174757122</v>
      </c>
      <c r="AK16" s="4">
        <f t="shared" si="4"/>
        <v>159.35360132664741</v>
      </c>
      <c r="AL16" s="4">
        <f>AK16*('Input&amp;Output'!$D$32/100)</f>
        <v>63.741440530658963</v>
      </c>
      <c r="AM16" s="8"/>
      <c r="AN16" s="5"/>
      <c r="AO16" s="4">
        <v>254.89311307421863</v>
      </c>
      <c r="AQ16" s="4">
        <v>73.63951174757122</v>
      </c>
      <c r="AR16" s="4">
        <v>63.741440530658963</v>
      </c>
      <c r="AS16" s="4">
        <f t="shared" si="0"/>
        <v>117.51216079598845</v>
      </c>
      <c r="AU16" s="4">
        <f>AS16/(1+'Input&amp;Output'!$D$33/100)^A16</f>
        <v>54.820290275721483</v>
      </c>
      <c r="AW16" s="4">
        <f t="shared" si="5"/>
        <v>1041.4095516420537</v>
      </c>
      <c r="AX16" s="4">
        <f t="shared" si="1"/>
        <v>0</v>
      </c>
      <c r="AZ16" s="4">
        <f t="shared" si="2"/>
        <v>117.51216079598845</v>
      </c>
      <c r="BA16" s="4">
        <f t="shared" si="2"/>
        <v>27.329572837442008</v>
      </c>
      <c r="BB16" s="4">
        <f t="shared" si="2"/>
        <v>7.9626665015727367</v>
      </c>
      <c r="BC16" s="4">
        <f t="shared" si="2"/>
        <v>2.7360432035286992</v>
      </c>
      <c r="BD16" s="4">
        <f t="shared" si="2"/>
        <v>1.0663573611317101</v>
      </c>
      <c r="BE16" s="4">
        <f t="shared" si="2"/>
        <v>0.45903187810932988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'Input&amp;Output'!$D$30*C17</f>
        <v>96.859382968203093</v>
      </c>
      <c r="G17" s="4">
        <f>'Input&amp;Output'!$D$30*D17</f>
        <v>145.28907445230462</v>
      </c>
      <c r="I17" s="4">
        <f t="shared" si="3"/>
        <v>242.14845742050773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v>78.684798950472654</v>
      </c>
      <c r="U17" s="4">
        <v>78.684798950472654</v>
      </c>
      <c r="W17" s="4">
        <v>242.14845742050773</v>
      </c>
      <c r="AG17" s="4">
        <f>IF(A17&lt;='Input&amp;Output'!$D$38,$K$8/'Input&amp;Output'!$D$38,0)</f>
        <v>21.9</v>
      </c>
      <c r="AH17" s="4">
        <v>78.684798950472654</v>
      </c>
      <c r="AK17" s="4">
        <f t="shared" si="4"/>
        <v>141.56365847003505</v>
      </c>
      <c r="AL17" s="4">
        <f>AK17*('Input&amp;Output'!$D$32/100)</f>
        <v>56.625463388014026</v>
      </c>
      <c r="AM17" s="8"/>
      <c r="AN17" s="5"/>
      <c r="AO17" s="4">
        <v>242.14845742050773</v>
      </c>
      <c r="AQ17" s="4">
        <v>78.684798950472654</v>
      </c>
      <c r="AR17" s="4">
        <v>56.625463388014026</v>
      </c>
      <c r="AS17" s="4">
        <f t="shared" si="0"/>
        <v>106.83819508202103</v>
      </c>
      <c r="AU17" s="4">
        <f>AS17/(1+'Input&amp;Output'!$D$33/100)^A17</f>
        <v>45.309824085500026</v>
      </c>
      <c r="AW17" s="4">
        <f t="shared" si="5"/>
        <v>1148.2477467240747</v>
      </c>
      <c r="AX17" s="4">
        <f t="shared" si="1"/>
        <v>0</v>
      </c>
      <c r="AZ17" s="4">
        <f t="shared" si="2"/>
        <v>106.83819508202103</v>
      </c>
      <c r="BA17" s="4">
        <f t="shared" si="2"/>
        <v>20.705957965945029</v>
      </c>
      <c r="BB17" s="4">
        <f t="shared" si="2"/>
        <v>5.1709962326186227</v>
      </c>
      <c r="BC17" s="4">
        <f t="shared" si="2"/>
        <v>1.5547003579852889</v>
      </c>
      <c r="BD17" s="4">
        <f t="shared" si="2"/>
        <v>0.53860948425361221</v>
      </c>
      <c r="BE17" s="4">
        <f t="shared" si="2"/>
        <v>0.20866834976957233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'Input&amp;Output'!$D$30*C18</f>
        <v>92.01641381979293</v>
      </c>
      <c r="G18" s="4">
        <f>'Input&amp;Output'!$D$30*D18</f>
        <v>138.02462072968939</v>
      </c>
      <c r="I18" s="4">
        <f t="shared" si="3"/>
        <v>230.04103454948233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v>84.086720169074482</v>
      </c>
      <c r="U18" s="4">
        <v>84.086720169074482</v>
      </c>
      <c r="W18" s="4">
        <v>230.04103454948233</v>
      </c>
      <c r="AG18" s="4">
        <f>IF(A18&lt;='Input&amp;Output'!$D$38,$K$8/'Input&amp;Output'!$D$38,0)</f>
        <v>21.9</v>
      </c>
      <c r="AH18" s="4">
        <v>84.086720169074482</v>
      </c>
      <c r="AK18" s="4">
        <f t="shared" si="4"/>
        <v>124.05431438040785</v>
      </c>
      <c r="AL18" s="4">
        <f>AK18*('Input&amp;Output'!$D$32/100)</f>
        <v>49.621725752163144</v>
      </c>
      <c r="AM18" s="8"/>
      <c r="AN18" s="5"/>
      <c r="AO18" s="4">
        <v>230.04103454948233</v>
      </c>
      <c r="AQ18" s="4">
        <v>84.086720169074482</v>
      </c>
      <c r="AR18" s="4">
        <v>49.621725752163144</v>
      </c>
      <c r="AS18" s="4">
        <f t="shared" si="0"/>
        <v>96.332588628244707</v>
      </c>
      <c r="AU18" s="4">
        <f>AS18/(1+'Input&amp;Output'!$D$33/100)^A18</f>
        <v>37.140383098995343</v>
      </c>
      <c r="AW18" s="4">
        <f t="shared" si="5"/>
        <v>1244.5803353523193</v>
      </c>
      <c r="AX18" s="4">
        <f t="shared" si="1"/>
        <v>0</v>
      </c>
      <c r="AZ18" s="4">
        <f t="shared" si="2"/>
        <v>96.332588628244707</v>
      </c>
      <c r="BA18" s="4">
        <f t="shared" si="2"/>
        <v>15.558250877692387</v>
      </c>
      <c r="BB18" s="4">
        <f t="shared" si="2"/>
        <v>3.3303729765814025</v>
      </c>
      <c r="BC18" s="4">
        <f t="shared" si="2"/>
        <v>0.87613978965459505</v>
      </c>
      <c r="BD18" s="4">
        <f t="shared" si="2"/>
        <v>0.26980387303353137</v>
      </c>
      <c r="BE18" s="4">
        <f t="shared" si="2"/>
        <v>9.4074793582270222E-2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'Input&amp;Output'!$D$30*C19</f>
        <v>87.41559312880328</v>
      </c>
      <c r="G19" s="4">
        <f>'Input&amp;Output'!$D$30*D19</f>
        <v>131.12338969320493</v>
      </c>
      <c r="I19" s="4">
        <f t="shared" si="3"/>
        <v>218.53898282200822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v>89.871113839195871</v>
      </c>
      <c r="U19" s="4">
        <v>89.871113839195871</v>
      </c>
      <c r="W19" s="4">
        <v>218.53898282200822</v>
      </c>
      <c r="AG19" s="4">
        <f>IF(A19&lt;='Input&amp;Output'!$D$38,$K$8/'Input&amp;Output'!$D$38,0)</f>
        <v>0</v>
      </c>
      <c r="AH19" s="4">
        <v>89.871113839195871</v>
      </c>
      <c r="AK19" s="4">
        <f t="shared" si="4"/>
        <v>128.66786898281237</v>
      </c>
      <c r="AL19" s="4">
        <f>AK19*('Input&amp;Output'!$D$32/100)</f>
        <v>51.467147593124949</v>
      </c>
      <c r="AM19" s="8"/>
      <c r="AN19" s="5"/>
      <c r="AO19" s="4">
        <v>218.53898282200822</v>
      </c>
      <c r="AQ19" s="4">
        <v>89.871113839195871</v>
      </c>
      <c r="AR19" s="4">
        <v>51.467147593124949</v>
      </c>
      <c r="AS19" s="4">
        <f t="shared" si="0"/>
        <v>77.200721389687416</v>
      </c>
      <c r="AU19" s="4">
        <f>AS19/(1+'Input&amp;Output'!$D$33/100)^A19</f>
        <v>27.058381882648067</v>
      </c>
      <c r="AW19" s="4">
        <f t="shared" si="5"/>
        <v>1321.7810567420067</v>
      </c>
      <c r="AX19" s="4">
        <f t="shared" si="1"/>
        <v>0</v>
      </c>
      <c r="AZ19" s="4">
        <f t="shared" si="2"/>
        <v>77.200721389687416</v>
      </c>
      <c r="BA19" s="4">
        <f t="shared" si="2"/>
        <v>10.390289589631708</v>
      </c>
      <c r="BB19" s="4">
        <f t="shared" si="2"/>
        <v>1.9063953327140297</v>
      </c>
      <c r="BC19" s="4">
        <f t="shared" si="2"/>
        <v>0.43883529423105377</v>
      </c>
      <c r="BD19" s="4">
        <f t="shared" si="2"/>
        <v>0.1201223451685082</v>
      </c>
      <c r="BE19" s="4">
        <f t="shared" si="2"/>
        <v>3.7695664741058309E-2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'Input&amp;Output'!$D$30*C20</f>
        <v>83.044813472363117</v>
      </c>
      <c r="G20" s="4">
        <f>'Input&amp;Output'!$D$30*D20</f>
        <v>124.56722020854468</v>
      </c>
      <c r="I20" s="4">
        <f t="shared" si="3"/>
        <v>207.61203368090781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v>96.065739134419545</v>
      </c>
      <c r="U20" s="4">
        <v>96.065739134419545</v>
      </c>
      <c r="W20" s="4">
        <v>207.61203368090781</v>
      </c>
      <c r="AG20" s="4">
        <f>IF(A20&lt;='Input&amp;Output'!$D$38,$K$8/'Input&amp;Output'!$D$38,0)</f>
        <v>0</v>
      </c>
      <c r="AH20" s="4">
        <v>96.065739134419545</v>
      </c>
      <c r="AK20" s="4">
        <f t="shared" si="4"/>
        <v>111.54629454648827</v>
      </c>
      <c r="AL20" s="4">
        <f>AK20*('Input&amp;Output'!$D$32/100)</f>
        <v>44.618517818595308</v>
      </c>
      <c r="AM20" s="8"/>
      <c r="AN20" s="5"/>
      <c r="AO20" s="4">
        <v>207.61203368090781</v>
      </c>
      <c r="AQ20" s="4">
        <v>96.065739134419545</v>
      </c>
      <c r="AR20" s="4">
        <v>44.618517818595308</v>
      </c>
      <c r="AS20" s="4">
        <f t="shared" si="0"/>
        <v>66.927776727892962</v>
      </c>
      <c r="AU20" s="4">
        <f>AS20/(1+'Input&amp;Output'!$D$33/100)^A20</f>
        <v>21.325252226344706</v>
      </c>
      <c r="AW20" s="4">
        <f t="shared" si="5"/>
        <v>1388.7088334698997</v>
      </c>
      <c r="AX20" s="4">
        <f t="shared" si="1"/>
        <v>0</v>
      </c>
      <c r="AZ20" s="4">
        <f t="shared" si="2"/>
        <v>66.927776727892962</v>
      </c>
      <c r="BA20" s="4">
        <f t="shared" si="2"/>
        <v>7.5063955499720878</v>
      </c>
      <c r="BB20" s="4">
        <f t="shared" si="2"/>
        <v>1.1805108154267436</v>
      </c>
      <c r="BC20" s="4">
        <f t="shared" si="2"/>
        <v>0.23777522787289082</v>
      </c>
      <c r="BD20" s="4">
        <f t="shared" si="2"/>
        <v>5.7854392439961627E-2</v>
      </c>
      <c r="BE20" s="4">
        <f t="shared" si="2"/>
        <v>1.6339789240208243E-2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'Input&amp;Output'!$D$30*C21</f>
        <v>78.892572798744965</v>
      </c>
      <c r="G21" s="4">
        <f>'Input&amp;Output'!$D$30*D21</f>
        <v>118.33885919811743</v>
      </c>
      <c r="I21" s="4">
        <f t="shared" si="3"/>
        <v>197.2314319968624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v>102.70042290464741</v>
      </c>
      <c r="U21" s="4">
        <v>102.70042290464741</v>
      </c>
      <c r="W21" s="4">
        <v>197.2314319968624</v>
      </c>
      <c r="AG21" s="4">
        <f>IF(A21&lt;='Input&amp;Output'!$D$38,$K$8/'Input&amp;Output'!$D$38,0)</f>
        <v>0</v>
      </c>
      <c r="AH21" s="4">
        <v>102.70042290464741</v>
      </c>
      <c r="AK21" s="4">
        <f t="shared" si="4"/>
        <v>94.531009092214987</v>
      </c>
      <c r="AL21" s="4">
        <f>AK21*('Input&amp;Output'!$D$32/100)</f>
        <v>37.812403636885996</v>
      </c>
      <c r="AM21" s="8"/>
      <c r="AN21" s="5"/>
      <c r="AO21" s="4">
        <v>197.2314319968624</v>
      </c>
      <c r="AQ21" s="4">
        <v>102.70042290464741</v>
      </c>
      <c r="AR21" s="4">
        <v>37.812403636885996</v>
      </c>
      <c r="AS21" s="4">
        <f t="shared" si="0"/>
        <v>56.718605455328991</v>
      </c>
      <c r="AU21" s="4">
        <f>AS21/(1+'Input&amp;Output'!$D$33/100)^A21</f>
        <v>16.429359668747786</v>
      </c>
      <c r="AW21" s="4">
        <f t="shared" si="5"/>
        <v>1445.4274389252287</v>
      </c>
      <c r="AX21" s="4">
        <f t="shared" si="1"/>
        <v>0</v>
      </c>
      <c r="AZ21" s="4">
        <f t="shared" si="2"/>
        <v>56.718605455328991</v>
      </c>
      <c r="BA21" s="4">
        <f t="shared" si="2"/>
        <v>5.301140876598434</v>
      </c>
      <c r="BB21" s="4">
        <f t="shared" si="2"/>
        <v>0.71459682201439889</v>
      </c>
      <c r="BC21" s="4">
        <f t="shared" si="2"/>
        <v>0.12594060340227234</v>
      </c>
      <c r="BD21" s="4">
        <f t="shared" si="2"/>
        <v>2.7238486844318455E-2</v>
      </c>
      <c r="BE21" s="4">
        <f t="shared" si="2"/>
        <v>6.9236578924962147E-3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'Input&amp;Output'!$D$30*C22</f>
        <v>74.947944158807701</v>
      </c>
      <c r="G22" s="4">
        <f>'Input&amp;Output'!$D$30*D22</f>
        <v>112.42191623821157</v>
      </c>
      <c r="I22" s="4">
        <f t="shared" si="3"/>
        <v>187.36986039701927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v>109.80721821883162</v>
      </c>
      <c r="U22" s="4">
        <v>109.80721821883162</v>
      </c>
      <c r="W22" s="4">
        <v>187.36986039701927</v>
      </c>
      <c r="AG22" s="4">
        <f>IF(A22&lt;='Input&amp;Output'!$D$38,$K$8/'Input&amp;Output'!$D$38,0)</f>
        <v>0</v>
      </c>
      <c r="AH22" s="4">
        <v>109.80721821883162</v>
      </c>
      <c r="AK22" s="4">
        <f t="shared" si="4"/>
        <v>77.562642178187645</v>
      </c>
      <c r="AL22" s="4">
        <f>AK22*('Input&amp;Output'!$D$32/100)</f>
        <v>31.025056871275059</v>
      </c>
      <c r="AM22" s="8"/>
      <c r="AN22" s="5"/>
      <c r="AO22" s="4">
        <v>187.36986039701927</v>
      </c>
      <c r="AQ22" s="4">
        <v>109.80721821883162</v>
      </c>
      <c r="AR22" s="4">
        <v>31.025056871275059</v>
      </c>
      <c r="AS22" s="4">
        <f t="shared" si="0"/>
        <v>46.53758530691259</v>
      </c>
      <c r="AU22" s="4">
        <f>AS22/(1+'Input&amp;Output'!$D$33/100)^A22</f>
        <v>12.25480071124548</v>
      </c>
      <c r="AW22" s="4">
        <f t="shared" si="5"/>
        <v>1491.9650242321413</v>
      </c>
      <c r="AX22" s="4">
        <f t="shared" si="1"/>
        <v>0</v>
      </c>
      <c r="AZ22" s="4">
        <f t="shared" si="2"/>
        <v>46.53758530691259</v>
      </c>
      <c r="BA22" s="4">
        <f t="shared" si="2"/>
        <v>3.6246527012340084</v>
      </c>
      <c r="BB22" s="4">
        <f t="shared" si="2"/>
        <v>0.41880450613002251</v>
      </c>
      <c r="BC22" s="4">
        <f t="shared" si="2"/>
        <v>6.4583873397739577E-2</v>
      </c>
      <c r="BD22" s="4">
        <f t="shared" si="2"/>
        <v>1.2416202124040097E-2</v>
      </c>
      <c r="BE22" s="4">
        <f t="shared" si="2"/>
        <v>2.8404287907051141E-3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'Input&amp;Output'!$D$30*C23</f>
        <v>71.20054695086732</v>
      </c>
      <c r="G23" s="4">
        <f>'Input&amp;Output'!$D$30*D23</f>
        <v>106.80082042630097</v>
      </c>
      <c r="I23" s="4">
        <f t="shared" si="3"/>
        <v>178.00136737716829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v>117.42057545990087</v>
      </c>
      <c r="U23" s="4">
        <v>117.42057545990087</v>
      </c>
      <c r="W23" s="4">
        <v>178.00136737716829</v>
      </c>
      <c r="AG23" s="4">
        <f>IF(A23&lt;='Input&amp;Output'!$D$38,$K$8/'Input&amp;Output'!$D$38,0)</f>
        <v>0</v>
      </c>
      <c r="AH23" s="4">
        <v>117.42057545990087</v>
      </c>
      <c r="AK23" s="4">
        <f t="shared" si="4"/>
        <v>60.580791917267419</v>
      </c>
      <c r="AL23" s="4">
        <f>AK23*('Input&amp;Output'!$D$32/100)</f>
        <v>24.232316766906969</v>
      </c>
      <c r="AM23" s="8"/>
      <c r="AN23" s="5"/>
      <c r="AO23" s="4">
        <v>178.00136737716829</v>
      </c>
      <c r="AQ23" s="4">
        <v>117.42057545990087</v>
      </c>
      <c r="AR23" s="4">
        <v>24.232316766906969</v>
      </c>
      <c r="AS23" s="4">
        <f t="shared" si="0"/>
        <v>36.34847515036045</v>
      </c>
      <c r="AU23" s="4">
        <f>AS23/(1+'Input&amp;Output'!$D$33/100)^A23</f>
        <v>8.7015359576888986</v>
      </c>
      <c r="AW23" s="4">
        <f t="shared" si="5"/>
        <v>1528.3134993825017</v>
      </c>
      <c r="AX23" s="4">
        <f t="shared" si="1"/>
        <v>0</v>
      </c>
      <c r="AZ23" s="4">
        <f t="shared" si="2"/>
        <v>36.34847515036045</v>
      </c>
      <c r="BA23" s="4">
        <f t="shared" si="2"/>
        <v>2.359214918626237</v>
      </c>
      <c r="BB23" s="4">
        <f t="shared" si="2"/>
        <v>0.23364993329787645</v>
      </c>
      <c r="BC23" s="4">
        <f t="shared" si="2"/>
        <v>3.1527276579644888E-2</v>
      </c>
      <c r="BD23" s="4">
        <f t="shared" si="2"/>
        <v>5.3876406372655753E-3</v>
      </c>
      <c r="BE23" s="4">
        <f t="shared" si="2"/>
        <v>1.1092674301257462E-3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'Input&amp;Output'!$D$30*C24</f>
        <v>67.640519603323952</v>
      </c>
      <c r="G24" s="4">
        <f>'Input&amp;Output'!$D$30*D24</f>
        <v>101.46077940498593</v>
      </c>
      <c r="I24" s="4">
        <f t="shared" si="3"/>
        <v>169.10129900830987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v>125.57752700005267</v>
      </c>
      <c r="U24" s="4">
        <v>125.57752700005267</v>
      </c>
      <c r="W24" s="4">
        <v>169.10129900830987</v>
      </c>
      <c r="AG24" s="4">
        <f>IF(A24&lt;='Input&amp;Output'!$D$38,$K$8/'Input&amp;Output'!$D$38,0)</f>
        <v>0</v>
      </c>
      <c r="AH24" s="4">
        <v>125.57752700005267</v>
      </c>
      <c r="AK24" s="4">
        <f t="shared" si="4"/>
        <v>43.523772008257197</v>
      </c>
      <c r="AL24" s="4">
        <f>AK24*('Input&amp;Output'!$D$32/100)</f>
        <v>17.409508803302881</v>
      </c>
      <c r="AM24" s="8"/>
      <c r="AN24" s="5"/>
      <c r="AO24" s="4">
        <v>169.10129900830987</v>
      </c>
      <c r="AQ24" s="4">
        <v>125.57752700005267</v>
      </c>
      <c r="AR24" s="4">
        <v>17.409508803302881</v>
      </c>
      <c r="AS24" s="4">
        <f t="shared" si="0"/>
        <v>26.114263204954316</v>
      </c>
      <c r="AU24" s="4">
        <f>AS24/(1+'Input&amp;Output'!$D$33/100)^A24</f>
        <v>5.6832245330906828</v>
      </c>
      <c r="AW24" s="4">
        <f t="shared" si="5"/>
        <v>1554.4277625874561</v>
      </c>
      <c r="AX24" s="4">
        <f t="shared" si="1"/>
        <v>0</v>
      </c>
      <c r="AZ24" s="4">
        <f t="shared" si="2"/>
        <v>26.114263204954316</v>
      </c>
      <c r="BA24" s="4">
        <f t="shared" si="2"/>
        <v>1.4124654722379621</v>
      </c>
      <c r="BB24" s="4">
        <f t="shared" si="2"/>
        <v>0.11990276720630109</v>
      </c>
      <c r="BC24" s="4">
        <f t="shared" si="2"/>
        <v>1.4156570449834847E-2</v>
      </c>
      <c r="BD24" s="4">
        <f t="shared" si="2"/>
        <v>2.1503922955847664E-3</v>
      </c>
      <c r="BE24" s="4">
        <f t="shared" si="2"/>
        <v>3.9847203376700311E-4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'Input&amp;Output'!$D$30*C25</f>
        <v>64.258493623157747</v>
      </c>
      <c r="G25" s="4">
        <f>'Input&amp;Output'!$D$30*D25</f>
        <v>96.387740434736614</v>
      </c>
      <c r="I25" s="4">
        <f t="shared" si="3"/>
        <v>160.64623405789436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v>134.31788657173794</v>
      </c>
      <c r="U25" s="4">
        <v>134.31788657173794</v>
      </c>
      <c r="W25" s="4">
        <v>160.64623405789436</v>
      </c>
      <c r="AG25" s="4">
        <f>IF(A25&lt;='Input&amp;Output'!$D$38,$K$8/'Input&amp;Output'!$D$38,0)</f>
        <v>0</v>
      </c>
      <c r="AH25" s="4">
        <v>134.31788657173794</v>
      </c>
      <c r="AK25" s="4">
        <f t="shared" si="4"/>
        <v>26.328347486156417</v>
      </c>
      <c r="AL25" s="4">
        <f>AK25*('Input&amp;Output'!$D$32/100)</f>
        <v>10.531338994462567</v>
      </c>
      <c r="AM25" s="8"/>
      <c r="AN25" s="5"/>
      <c r="AO25" s="4">
        <v>160.64623405789436</v>
      </c>
      <c r="AQ25" s="4">
        <v>134.31788657173794</v>
      </c>
      <c r="AR25" s="4">
        <v>10.531338994462567</v>
      </c>
      <c r="AS25" s="4">
        <f t="shared" si="0"/>
        <v>15.79700849169385</v>
      </c>
      <c r="AU25" s="4">
        <f>AS25/(1+'Input&amp;Output'!$D$33/100)^A25</f>
        <v>3.1253539146517912</v>
      </c>
      <c r="AW25" s="4">
        <f t="shared" si="5"/>
        <v>1570.2247710791498</v>
      </c>
      <c r="AX25" s="4">
        <f t="shared" si="1"/>
        <v>0</v>
      </c>
      <c r="AZ25" s="4">
        <f t="shared" si="2"/>
        <v>15.79700849169385</v>
      </c>
      <c r="BA25" s="4">
        <f t="shared" si="2"/>
        <v>0.71202241995906512</v>
      </c>
      <c r="BB25" s="4">
        <f t="shared" si="2"/>
        <v>5.1808169156719847E-2</v>
      </c>
      <c r="BC25" s="4">
        <f t="shared" si="2"/>
        <v>5.3522346642082509E-3</v>
      </c>
      <c r="BD25" s="4">
        <f t="shared" si="2"/>
        <v>7.2267372489590606E-4</v>
      </c>
      <c r="BE25" s="4">
        <f t="shared" si="2"/>
        <v>1.2052161019663887E-4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'Input&amp;Output'!$D$30*C26</f>
        <v>61.045568941999861</v>
      </c>
      <c r="G26" s="4">
        <f>'Input&amp;Output'!$D$30*D26</f>
        <v>91.568353412999798</v>
      </c>
      <c r="I26" s="4">
        <f t="shared" si="3"/>
        <v>152.61392235499966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v>143.68446454444995</v>
      </c>
      <c r="U26" s="4">
        <v>143.68446454444995</v>
      </c>
      <c r="W26" s="4">
        <v>152.61392235499966</v>
      </c>
      <c r="AG26" s="4">
        <f>IF(A26&lt;='Input&amp;Output'!$D$38,$K$8/'Input&amp;Output'!$D$38,0)</f>
        <v>0</v>
      </c>
      <c r="AH26" s="4">
        <v>143.68446454444995</v>
      </c>
      <c r="AK26" s="4">
        <f t="shared" si="4"/>
        <v>8.9294578105497067</v>
      </c>
      <c r="AL26" s="4">
        <f>AK26*('Input&amp;Output'!$D$32/100)</f>
        <v>3.5717831242198828</v>
      </c>
      <c r="AM26" s="8"/>
      <c r="AN26" s="5"/>
      <c r="AO26" s="4">
        <v>152.61392235499966</v>
      </c>
      <c r="AQ26" s="4">
        <v>143.68446454444995</v>
      </c>
      <c r="AR26" s="4">
        <v>3.5717831242198828</v>
      </c>
      <c r="AS26" s="4">
        <f t="shared" si="0"/>
        <v>5.3576746863298244</v>
      </c>
      <c r="AU26" s="4">
        <f>AS26/(1+'Input&amp;Output'!$D$33/100)^A26</f>
        <v>0.96362488581050798</v>
      </c>
      <c r="AW26" s="4">
        <f t="shared" si="5"/>
        <v>1575.5824457654796</v>
      </c>
      <c r="AX26" s="4">
        <f t="shared" si="1"/>
        <v>0</v>
      </c>
      <c r="AZ26" s="4">
        <f t="shared" si="2"/>
        <v>5.3576746863298244</v>
      </c>
      <c r="BA26" s="4">
        <f t="shared" si="2"/>
        <v>0.20123981583389772</v>
      </c>
      <c r="BB26" s="4">
        <f t="shared" si="2"/>
        <v>1.2550808346403052E-2</v>
      </c>
      <c r="BC26" s="4">
        <f t="shared" si="2"/>
        <v>1.1345317449979256E-3</v>
      </c>
      <c r="BD26" s="4">
        <f t="shared" si="2"/>
        <v>1.3616680526661878E-4</v>
      </c>
      <c r="BE26" s="4">
        <f t="shared" si="2"/>
        <v>2.0437906976050661E-5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'Input&amp;Output'!$D$30*C27</f>
        <v>57.993290494899867</v>
      </c>
      <c r="G27" s="4">
        <f>'Input&amp;Output'!$D$30*D27</f>
        <v>86.989935742349786</v>
      </c>
      <c r="I27" s="4">
        <f t="shared" si="3"/>
        <v>144.98322623724965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v>153.72330042053716</v>
      </c>
      <c r="U27" s="4">
        <v>153.72330042053716</v>
      </c>
      <c r="W27" s="4">
        <v>144.98322623724965</v>
      </c>
      <c r="AG27" s="4">
        <f>IF(A27&lt;='Input&amp;Output'!$D$38,$K$8/'Input&amp;Output'!$D$38,0)</f>
        <v>0</v>
      </c>
      <c r="AH27" s="4">
        <v>153.72330042053716</v>
      </c>
      <c r="AK27" s="4">
        <f t="shared" si="4"/>
        <v>0</v>
      </c>
      <c r="AL27" s="4">
        <f>AK27*('Input&amp;Output'!$D$32/100)</f>
        <v>0</v>
      </c>
      <c r="AM27" s="8"/>
      <c r="AN27" s="5"/>
      <c r="AO27" s="4">
        <v>144.98322623724965</v>
      </c>
      <c r="AQ27" s="4">
        <v>153.72330042053716</v>
      </c>
      <c r="AR27" s="4">
        <v>0</v>
      </c>
      <c r="AS27" s="4">
        <f t="shared" si="0"/>
        <v>-8.7400741832875042</v>
      </c>
      <c r="AU27" s="4">
        <f>AS27/(1+'Input&amp;Output'!$D$33/100)^A27</f>
        <v>-1.4290719693844081</v>
      </c>
      <c r="AW27" s="4">
        <f t="shared" si="5"/>
        <v>1566.8423715821921</v>
      </c>
      <c r="AX27" s="4">
        <f t="shared" si="1"/>
        <v>0</v>
      </c>
      <c r="AZ27" s="4">
        <f t="shared" si="2"/>
        <v>-8.7400741832875042</v>
      </c>
      <c r="BA27" s="4">
        <f t="shared" si="2"/>
        <v>-0.27357187305951841</v>
      </c>
      <c r="BB27" s="4">
        <f t="shared" si="2"/>
        <v>-1.4624547618934497E-2</v>
      </c>
      <c r="BC27" s="4">
        <f t="shared" si="2"/>
        <v>-1.1567391866705034E-3</v>
      </c>
      <c r="BD27" s="4">
        <f t="shared" si="2"/>
        <v>-1.2340635412515883E-4</v>
      </c>
      <c r="BE27" s="4">
        <f t="shared" si="2"/>
        <v>-1.6670368544173249E-5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'Input&amp;Output'!$D$30*C28</f>
        <v>55.093625970154875</v>
      </c>
      <c r="G28" s="4">
        <f>'Input&amp;Output'!$D$30*D28</f>
        <v>82.640438955232312</v>
      </c>
      <c r="H28" s="11"/>
      <c r="I28" s="4">
        <f t="shared" si="3"/>
        <v>137.7340649253872</v>
      </c>
      <c r="M28" s="11">
        <v>1.4859473959783542</v>
      </c>
      <c r="N28" s="11">
        <v>7.9598931154332622</v>
      </c>
      <c r="O28" s="11">
        <v>16.035677361064241</v>
      </c>
      <c r="P28" s="11">
        <v>0.43926841438126812</v>
      </c>
      <c r="Q28" s="11">
        <v>14.733224889023084</v>
      </c>
      <c r="R28" s="11">
        <v>7.739368924972359</v>
      </c>
      <c r="S28" s="11">
        <v>116.09053387458539</v>
      </c>
      <c r="T28" s="11">
        <v>164.48391397543796</v>
      </c>
      <c r="U28" s="11">
        <v>164.48391397543796</v>
      </c>
      <c r="W28" s="11">
        <v>137.7340649253872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4"/>
        <v>0</v>
      </c>
      <c r="AL28" s="4">
        <f>AK28*('Input&amp;Output'!$D$32/100)</f>
        <v>0</v>
      </c>
      <c r="AM28" s="18"/>
      <c r="AN28" s="5"/>
      <c r="AO28" s="11">
        <v>137.7340649253872</v>
      </c>
      <c r="AP28" s="11"/>
      <c r="AQ28" s="11">
        <v>164.48391397543796</v>
      </c>
      <c r="AR28" s="11">
        <v>0</v>
      </c>
      <c r="AS28" s="4">
        <f t="shared" si="0"/>
        <v>-26.749849050050756</v>
      </c>
      <c r="AU28" s="4">
        <f>AS28/(1+'Input&amp;Output'!$D$33/100)^A28</f>
        <v>-3.9761946118977325</v>
      </c>
      <c r="AV28" s="14"/>
      <c r="AW28" s="4">
        <f t="shared" si="5"/>
        <v>1540.0925225321414</v>
      </c>
      <c r="AX28" s="4">
        <f t="shared" si="1"/>
        <v>0</v>
      </c>
      <c r="AZ28" s="4">
        <f t="shared" si="2"/>
        <v>-26.749849050050756</v>
      </c>
      <c r="BA28" s="4">
        <f t="shared" si="2"/>
        <v>-0.69774448851122894</v>
      </c>
      <c r="BB28" s="4">
        <f t="shared" si="2"/>
        <v>-3.1971324027352567E-2</v>
      </c>
      <c r="BC28" s="4">
        <f t="shared" si="2"/>
        <v>-2.2126956522921962E-3</v>
      </c>
      <c r="BD28" s="4">
        <f t="shared" si="2"/>
        <v>-2.0983176492797136E-4</v>
      </c>
      <c r="BE28" s="4">
        <f t="shared" si="2"/>
        <v>-2.551064400677753E-5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2809.8316598505835</v>
      </c>
      <c r="I30" s="12">
        <f>SUM(I9:I29)</f>
        <v>4683.0527664176398</v>
      </c>
      <c r="M30" s="12">
        <f t="shared" ref="M30:W30" si="6">SUM(M9:M29)</f>
        <v>24.783317194896075</v>
      </c>
      <c r="N30" s="12">
        <f t="shared" si="6"/>
        <v>104.15775542409848</v>
      </c>
      <c r="O30" s="12">
        <f t="shared" si="6"/>
        <v>194.9636333788014</v>
      </c>
      <c r="P30" s="12">
        <f t="shared" si="6"/>
        <v>8.0061098525080752</v>
      </c>
      <c r="Q30" s="12">
        <f t="shared" si="6"/>
        <v>137.97547377925386</v>
      </c>
      <c r="R30" s="12">
        <f t="shared" si="6"/>
        <v>87.730353567434619</v>
      </c>
      <c r="S30" s="12">
        <f t="shared" si="6"/>
        <v>1315.9553035115193</v>
      </c>
      <c r="U30" s="12">
        <f t="shared" si="6"/>
        <v>1873.5719467085121</v>
      </c>
      <c r="W30" s="12">
        <f t="shared" si="6"/>
        <v>4683.0527664176398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2625.9707429424661</v>
      </c>
      <c r="AL30" s="12">
        <f>SUM(AL9:AL29)</f>
        <v>1050.3882971769867</v>
      </c>
      <c r="AM30" s="19" t="s">
        <v>82</v>
      </c>
      <c r="AO30" s="12">
        <f>SUM(AO8:AO29)</f>
        <v>4683.0527664176398</v>
      </c>
      <c r="AP30" s="12">
        <f>SUM(AP8:AP29)</f>
        <v>219</v>
      </c>
      <c r="AQ30" s="12">
        <f>SUM(AQ8:AQ29)</f>
        <v>1873.5719467085121</v>
      </c>
      <c r="AR30" s="12">
        <f>SUM(AR8:AR29)</f>
        <v>1050.3882971769867</v>
      </c>
      <c r="AS30" s="12">
        <f>SUM(AS8:AS29)</f>
        <v>1540.0925225321414</v>
      </c>
      <c r="AU30" s="15">
        <f>SUM(AU8:AU29)</f>
        <v>825.24822815922471</v>
      </c>
      <c r="AX30" s="16">
        <f>SUM(AX8:AX29)</f>
        <v>1.1022762750671766</v>
      </c>
      <c r="AZ30" s="12">
        <f t="shared" ref="AZ30:BE30" si="7">SUM(AZ8:AZ29)</f>
        <v>1540.0925225321414</v>
      </c>
      <c r="BA30" s="12">
        <f t="shared" si="7"/>
        <v>494.22707087600321</v>
      </c>
      <c r="BB30" s="12">
        <f t="shared" si="7"/>
        <v>204.97031595929172</v>
      </c>
      <c r="BC30" s="12">
        <f t="shared" si="7"/>
        <v>79.99219993043144</v>
      </c>
      <c r="BD30" s="12">
        <f t="shared" si="7"/>
        <v>11.481280850100811</v>
      </c>
      <c r="BE30" s="12">
        <f t="shared" si="7"/>
        <v>-31.590734366206512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825.24822815922471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0.84565702912404195</v>
      </c>
    </row>
    <row r="34" spans="45:48" ht="12" customHeight="1" thickBot="1" x14ac:dyDescent="0.25">
      <c r="AS34" s="75" t="s">
        <v>136</v>
      </c>
      <c r="AT34" s="76"/>
      <c r="AU34" s="77">
        <f>AX30</f>
        <v>1.1022762750671766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3.7682567495855008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3B1D-BE98-4520-A04E-559C12713A50}">
  <dimension ref="A1:BM35"/>
  <sheetViews>
    <sheetView topLeftCell="I2" workbookViewId="0">
      <selection activeCell="BE8" sqref="BE8:BE28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'Capex=1.5'!M8:S8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'Input&amp;Output'!$D$30*C9</f>
        <v>146</v>
      </c>
      <c r="G9" s="4">
        <f>'Input&amp;Output'!$D$30*D9</f>
        <v>219</v>
      </c>
      <c r="I9" s="4">
        <f>SUM(F9:G9)</f>
        <v>365</v>
      </c>
      <c r="M9" s="4" cm="1">
        <f t="array" ref="M9:U28">'Capex=1.5'!M9:U28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v>46.482600000000005</v>
      </c>
      <c r="U9" s="4">
        <v>46.482600000000005</v>
      </c>
      <c r="W9" s="4" cm="1">
        <f t="array" ref="W9:W28">I9:I28</f>
        <v>365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296.61740000000003</v>
      </c>
      <c r="AL9" s="4">
        <f>AK9*('Input&amp;Output'!$D$32/100)</f>
        <v>118.64696000000002</v>
      </c>
      <c r="AM9" s="8"/>
      <c r="AN9" s="5"/>
      <c r="AO9" s="4" cm="1">
        <f t="array" ref="AO9:AO28">W9:W28</f>
        <v>365</v>
      </c>
      <c r="AQ9" s="4" cm="1">
        <f t="array" ref="AQ9:AQ28">AH9:AH28</f>
        <v>46.482600000000005</v>
      </c>
      <c r="AR9" s="4" cm="1">
        <f t="array" ref="AR9:AR28">AL9:AL28</f>
        <v>118.64696000000002</v>
      </c>
      <c r="AS9" s="4">
        <f t="shared" ref="AS9:AS28" si="0">AO9-AP9-AQ9-AR9</f>
        <v>199.87043999999997</v>
      </c>
      <c r="AU9" s="4">
        <f>AS9/(1+'Input&amp;Output'!$D$33/100)^A9</f>
        <v>181.70039999999997</v>
      </c>
      <c r="AW9" s="4">
        <f>AW8+AS9</f>
        <v>-19.129560000000026</v>
      </c>
      <c r="AX9" s="4">
        <f t="shared" ref="AX9:AX28" si="1">IF(AND(AW9&gt;0,AW8&lt;0),A8+ABS(AW8/AS9),0)</f>
        <v>0</v>
      </c>
      <c r="AZ9" s="4">
        <f t="shared" ref="AZ9:BE28" si="2">$AS9/(1+AZ$5)^$A9</f>
        <v>199.87043999999997</v>
      </c>
      <c r="BA9" s="4">
        <f t="shared" si="2"/>
        <v>166.55869999999999</v>
      </c>
      <c r="BB9" s="4">
        <f t="shared" si="2"/>
        <v>142.7646</v>
      </c>
      <c r="BC9" s="4">
        <f t="shared" si="2"/>
        <v>124.91902499999998</v>
      </c>
      <c r="BD9" s="4">
        <f t="shared" si="2"/>
        <v>111.03913333333331</v>
      </c>
      <c r="BE9" s="4">
        <f t="shared" si="2"/>
        <v>99.935219999999987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'Input&amp;Output'!$D$30*C10</f>
        <v>138.69999999999999</v>
      </c>
      <c r="G10" s="4">
        <f>'Input&amp;Output'!$D$30*D10</f>
        <v>208.05</v>
      </c>
      <c r="I10" s="4">
        <f t="shared" ref="I10:I28" si="3">SUM(F10:G10)</f>
        <v>346.75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v>49.619836000000006</v>
      </c>
      <c r="U10" s="4">
        <v>49.619836000000006</v>
      </c>
      <c r="W10" s="4">
        <v>346.75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4">MAX(0,W10-AH10-AG10)</f>
        <v>275.230164</v>
      </c>
      <c r="AL10" s="4">
        <f>AK10*('Input&amp;Output'!$D$32/100)</f>
        <v>110.09206560000001</v>
      </c>
      <c r="AM10" s="8"/>
      <c r="AN10" s="5"/>
      <c r="AO10" s="4">
        <v>346.75</v>
      </c>
      <c r="AQ10" s="4">
        <v>49.619836000000006</v>
      </c>
      <c r="AR10" s="4">
        <v>110.09206560000001</v>
      </c>
      <c r="AS10" s="4">
        <f t="shared" si="0"/>
        <v>187.03809839999997</v>
      </c>
      <c r="AU10" s="4">
        <f>AS10/(1+'Input&amp;Output'!$D$33/100)^A10</f>
        <v>154.57694082644622</v>
      </c>
      <c r="AW10" s="4">
        <f t="shared" ref="AW10:AW28" si="5">AW9+AS10</f>
        <v>167.90853839999994</v>
      </c>
      <c r="AX10" s="4">
        <f t="shared" si="1"/>
        <v>1.1022762750671766</v>
      </c>
      <c r="AZ10" s="4">
        <f t="shared" si="2"/>
        <v>187.03809839999997</v>
      </c>
      <c r="BA10" s="4">
        <f t="shared" si="2"/>
        <v>129.88756833333332</v>
      </c>
      <c r="BB10" s="4">
        <f t="shared" si="2"/>
        <v>95.427601224489791</v>
      </c>
      <c r="BC10" s="4">
        <f t="shared" si="2"/>
        <v>73.061757187499978</v>
      </c>
      <c r="BD10" s="4">
        <f t="shared" si="2"/>
        <v>57.727808148148135</v>
      </c>
      <c r="BE10" s="4">
        <f t="shared" si="2"/>
        <v>46.759524599999992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'Input&amp;Output'!$D$30*C11</f>
        <v>131.76499999999999</v>
      </c>
      <c r="G11" s="4">
        <f>'Input&amp;Output'!$D$30*D11</f>
        <v>197.64749999999998</v>
      </c>
      <c r="I11" s="4">
        <f t="shared" si="3"/>
        <v>329.41249999999997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v>52.976337360000002</v>
      </c>
      <c r="U11" s="4">
        <v>52.976337360000002</v>
      </c>
      <c r="W11" s="4">
        <v>329.41249999999997</v>
      </c>
      <c r="AG11" s="4">
        <f>IF(A11&lt;='Input&amp;Output'!$D$38,$K$8/'Input&amp;Output'!$D$38,0)</f>
        <v>21.9</v>
      </c>
      <c r="AH11" s="4">
        <v>52.976337360000002</v>
      </c>
      <c r="AK11" s="4">
        <f t="shared" si="4"/>
        <v>254.53616263999996</v>
      </c>
      <c r="AL11" s="4">
        <f>AK11*('Input&amp;Output'!$D$32/100)</f>
        <v>101.81446505599999</v>
      </c>
      <c r="AM11" s="8"/>
      <c r="AN11" s="5"/>
      <c r="AO11" s="4">
        <v>329.41249999999997</v>
      </c>
      <c r="AQ11" s="4">
        <v>52.976337360000002</v>
      </c>
      <c r="AR11" s="4">
        <v>101.81446505599999</v>
      </c>
      <c r="AS11" s="4">
        <f t="shared" si="0"/>
        <v>174.62169758399997</v>
      </c>
      <c r="AU11" s="4">
        <f>AS11/(1+'Input&amp;Output'!$D$33/100)^A11</f>
        <v>131.19586595341843</v>
      </c>
      <c r="AW11" s="4">
        <f t="shared" si="5"/>
        <v>342.53023598399989</v>
      </c>
      <c r="AX11" s="4">
        <f t="shared" si="1"/>
        <v>0</v>
      </c>
      <c r="AZ11" s="4">
        <f t="shared" si="2"/>
        <v>174.62169758399997</v>
      </c>
      <c r="BA11" s="4">
        <f t="shared" si="2"/>
        <v>101.05422313888887</v>
      </c>
      <c r="BB11" s="4">
        <f t="shared" si="2"/>
        <v>63.637644892128286</v>
      </c>
      <c r="BC11" s="4">
        <f t="shared" si="2"/>
        <v>42.632250386718731</v>
      </c>
      <c r="BD11" s="4">
        <f t="shared" si="2"/>
        <v>29.941992041152254</v>
      </c>
      <c r="BE11" s="4">
        <f t="shared" si="2"/>
        <v>21.827712197999997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'Input&amp;Output'!$D$30*C12</f>
        <v>125.17674999999998</v>
      </c>
      <c r="G12" s="4">
        <f>'Input&amp;Output'!$D$30*D12</f>
        <v>187.76512499999995</v>
      </c>
      <c r="I12" s="4">
        <f t="shared" si="3"/>
        <v>312.94187499999992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v>56.567804473600006</v>
      </c>
      <c r="U12" s="4">
        <v>56.567804473600006</v>
      </c>
      <c r="W12" s="4">
        <v>312.94187499999992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4"/>
        <v>234.47407052639991</v>
      </c>
      <c r="AL12" s="4">
        <f>AK12*('Input&amp;Output'!$D$32/100)</f>
        <v>93.789628210559968</v>
      </c>
      <c r="AM12" s="8"/>
      <c r="AN12" s="5"/>
      <c r="AO12" s="4">
        <v>312.94187499999992</v>
      </c>
      <c r="AQ12" s="4">
        <v>56.567804473600006</v>
      </c>
      <c r="AR12" s="4">
        <v>93.789628210559968</v>
      </c>
      <c r="AS12" s="4">
        <f t="shared" si="0"/>
        <v>162.58444231583996</v>
      </c>
      <c r="AU12" s="4">
        <f>AS12/(1+'Input&amp;Output'!$D$33/100)^A12</f>
        <v>111.04736173474484</v>
      </c>
      <c r="AW12" s="4">
        <f t="shared" si="5"/>
        <v>505.11467829983985</v>
      </c>
      <c r="AX12" s="4">
        <f t="shared" si="1"/>
        <v>0</v>
      </c>
      <c r="AZ12" s="4">
        <f t="shared" si="2"/>
        <v>162.58444231583996</v>
      </c>
      <c r="BA12" s="4">
        <f t="shared" si="2"/>
        <v>78.406849110648139</v>
      </c>
      <c r="BB12" s="4">
        <f t="shared" si="2"/>
        <v>42.322064326280717</v>
      </c>
      <c r="BC12" s="4">
        <f t="shared" si="2"/>
        <v>24.808417101415998</v>
      </c>
      <c r="BD12" s="4">
        <f t="shared" si="2"/>
        <v>15.487772663831727</v>
      </c>
      <c r="BE12" s="4">
        <f t="shared" si="2"/>
        <v>10.161527644739998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'Input&amp;Output'!$D$30*C13</f>
        <v>118.91791249999999</v>
      </c>
      <c r="G13" s="4">
        <f>'Input&amp;Output'!$D$30*D13</f>
        <v>178.37686875</v>
      </c>
      <c r="I13" s="4">
        <f t="shared" si="3"/>
        <v>297.29478124999997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v>60.411089279136007</v>
      </c>
      <c r="U13" s="4">
        <v>60.411089279136007</v>
      </c>
      <c r="W13" s="4">
        <v>297.29478124999997</v>
      </c>
      <c r="AG13" s="4">
        <f>IF(A13&lt;='Input&amp;Output'!$D$38,$K$8/'Input&amp;Output'!$D$38,0)</f>
        <v>21.9</v>
      </c>
      <c r="AH13" s="4">
        <v>60.411089279136007</v>
      </c>
      <c r="AK13" s="4">
        <f t="shared" si="4"/>
        <v>214.98369197086396</v>
      </c>
      <c r="AL13" s="4">
        <f>AK13*('Input&amp;Output'!$D$32/100)</f>
        <v>85.993476788345589</v>
      </c>
      <c r="AM13" s="8"/>
      <c r="AN13" s="5"/>
      <c r="AO13" s="4">
        <v>297.29478124999997</v>
      </c>
      <c r="AQ13" s="4">
        <v>60.411089279136007</v>
      </c>
      <c r="AR13" s="4">
        <v>85.993476788345589</v>
      </c>
      <c r="AS13" s="4">
        <f t="shared" si="0"/>
        <v>150.89021518251838</v>
      </c>
      <c r="AU13" s="4">
        <f>AS13/(1+'Input&amp;Output'!$D$33/100)^A13</f>
        <v>93.690952047809901</v>
      </c>
      <c r="AW13" s="4">
        <f t="shared" si="5"/>
        <v>656.00489348235828</v>
      </c>
      <c r="AX13" s="4">
        <f t="shared" si="1"/>
        <v>0</v>
      </c>
      <c r="AZ13" s="4">
        <f t="shared" si="2"/>
        <v>150.89021518251838</v>
      </c>
      <c r="BA13" s="4">
        <f t="shared" si="2"/>
        <v>60.639393318591814</v>
      </c>
      <c r="BB13" s="4">
        <f t="shared" si="2"/>
        <v>28.055686466672821</v>
      </c>
      <c r="BC13" s="4">
        <f t="shared" si="2"/>
        <v>14.390012281658009</v>
      </c>
      <c r="BD13" s="4">
        <f t="shared" si="2"/>
        <v>7.9854345110902774</v>
      </c>
      <c r="BE13" s="4">
        <f t="shared" si="2"/>
        <v>4.7153192244536992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'Input&amp;Output'!$D$30*C14</f>
        <v>112.97201687499998</v>
      </c>
      <c r="G14" s="4">
        <f>'Input&amp;Output'!$D$30*D14</f>
        <v>169.45802531249996</v>
      </c>
      <c r="I14" s="4">
        <f t="shared" si="3"/>
        <v>282.43004218749991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v>64.524282005803371</v>
      </c>
      <c r="U14" s="4">
        <v>64.524282005803371</v>
      </c>
      <c r="W14" s="4">
        <v>282.43004218749991</v>
      </c>
      <c r="AG14" s="4">
        <f>IF(A14&lt;='Input&amp;Output'!$D$38,$K$8/'Input&amp;Output'!$D$38,0)</f>
        <v>21.9</v>
      </c>
      <c r="AH14" s="4">
        <v>64.524282005803371</v>
      </c>
      <c r="AK14" s="4">
        <f t="shared" si="4"/>
        <v>196.00576018169653</v>
      </c>
      <c r="AL14" s="4">
        <f>AK14*('Input&amp;Output'!$D$32/100)</f>
        <v>78.402304072678618</v>
      </c>
      <c r="AM14" s="8"/>
      <c r="AN14" s="5"/>
      <c r="AO14" s="4">
        <v>282.43004218749991</v>
      </c>
      <c r="AQ14" s="4">
        <v>64.524282005803371</v>
      </c>
      <c r="AR14" s="4">
        <v>78.402304072678618</v>
      </c>
      <c r="AS14" s="4">
        <f t="shared" si="0"/>
        <v>139.50345610901792</v>
      </c>
      <c r="AU14" s="4">
        <f>AS14/(1+'Input&amp;Output'!$D$33/100)^A14</f>
        <v>78.746064125941956</v>
      </c>
      <c r="AW14" s="4">
        <f t="shared" si="5"/>
        <v>795.50834959137615</v>
      </c>
      <c r="AX14" s="4">
        <f t="shared" si="1"/>
        <v>0</v>
      </c>
      <c r="AZ14" s="4">
        <f t="shared" si="2"/>
        <v>139.50345610901792</v>
      </c>
      <c r="BA14" s="4">
        <f t="shared" si="2"/>
        <v>46.719425190830869</v>
      </c>
      <c r="BB14" s="4">
        <f t="shared" si="2"/>
        <v>18.527497060777449</v>
      </c>
      <c r="BC14" s="4">
        <f t="shared" si="2"/>
        <v>8.3150539463173061</v>
      </c>
      <c r="BD14" s="4">
        <f t="shared" si="2"/>
        <v>4.1015681923363161</v>
      </c>
      <c r="BE14" s="4">
        <f t="shared" si="2"/>
        <v>2.179741501703405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'Input&amp;Output'!$D$30*C15</f>
        <v>107.32341603124996</v>
      </c>
      <c r="G15" s="4">
        <f>'Input&amp;Output'!$D$30*D15</f>
        <v>160.98512404687494</v>
      </c>
      <c r="I15" s="4">
        <f t="shared" si="3"/>
        <v>268.30854007812491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v>68.926804653643131</v>
      </c>
      <c r="U15" s="4">
        <v>68.926804653643131</v>
      </c>
      <c r="W15" s="4">
        <v>268.30854007812491</v>
      </c>
      <c r="AG15" s="4">
        <f>IF(A15&lt;='Input&amp;Output'!$D$38,$K$8/'Input&amp;Output'!$D$38,0)</f>
        <v>21.9</v>
      </c>
      <c r="AH15" s="4">
        <v>68.926804653643131</v>
      </c>
      <c r="AK15" s="4">
        <f t="shared" si="4"/>
        <v>177.48173542448177</v>
      </c>
      <c r="AL15" s="4">
        <f>AK15*('Input&amp;Output'!$D$32/100)</f>
        <v>70.992694169792713</v>
      </c>
      <c r="AM15" s="8"/>
      <c r="AN15" s="5"/>
      <c r="AO15" s="4">
        <v>268.30854007812491</v>
      </c>
      <c r="AQ15" s="4">
        <v>68.926804653643131</v>
      </c>
      <c r="AR15" s="4">
        <v>70.992694169792713</v>
      </c>
      <c r="AS15" s="4">
        <f t="shared" si="0"/>
        <v>128.38904125468906</v>
      </c>
      <c r="AU15" s="4">
        <f>AS15/(1+'Input&amp;Output'!$D$33/100)^A15</f>
        <v>65.883878811700782</v>
      </c>
      <c r="AW15" s="4">
        <f t="shared" si="5"/>
        <v>923.89739084606526</v>
      </c>
      <c r="AX15" s="4">
        <f t="shared" si="1"/>
        <v>0</v>
      </c>
      <c r="AZ15" s="4">
        <f t="shared" si="2"/>
        <v>128.38904125468906</v>
      </c>
      <c r="BA15" s="4">
        <f t="shared" si="2"/>
        <v>35.831025120108109</v>
      </c>
      <c r="BB15" s="4">
        <f t="shared" si="2"/>
        <v>12.179562995523717</v>
      </c>
      <c r="BC15" s="4">
        <f t="shared" si="2"/>
        <v>4.7828644981491921</v>
      </c>
      <c r="BD15" s="4">
        <f t="shared" si="2"/>
        <v>2.0971061798691526</v>
      </c>
      <c r="BE15" s="4">
        <f t="shared" si="2"/>
        <v>1.0030393848022583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'Input&amp;Output'!$D$30*C16</f>
        <v>101.95724522968746</v>
      </c>
      <c r="G16" s="4">
        <f>'Input&amp;Output'!$D$30*D16</f>
        <v>152.93586784453117</v>
      </c>
      <c r="I16" s="4">
        <f t="shared" si="3"/>
        <v>254.89311307421863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v>73.63951174757122</v>
      </c>
      <c r="U16" s="4">
        <v>73.63951174757122</v>
      </c>
      <c r="W16" s="4">
        <v>254.89311307421863</v>
      </c>
      <c r="AG16" s="4">
        <f>IF(A16&lt;='Input&amp;Output'!$D$38,$K$8/'Input&amp;Output'!$D$38,0)</f>
        <v>21.9</v>
      </c>
      <c r="AH16" s="4">
        <v>73.63951174757122</v>
      </c>
      <c r="AK16" s="4">
        <f t="shared" si="4"/>
        <v>159.35360132664741</v>
      </c>
      <c r="AL16" s="4">
        <f>AK16*('Input&amp;Output'!$D$32/100)</f>
        <v>63.741440530658963</v>
      </c>
      <c r="AM16" s="8"/>
      <c r="AN16" s="5"/>
      <c r="AO16" s="4">
        <v>254.89311307421863</v>
      </c>
      <c r="AQ16" s="4">
        <v>73.63951174757122</v>
      </c>
      <c r="AR16" s="4">
        <v>63.741440530658963</v>
      </c>
      <c r="AS16" s="4">
        <f t="shared" si="0"/>
        <v>117.51216079598845</v>
      </c>
      <c r="AU16" s="4">
        <f>AS16/(1+'Input&amp;Output'!$D$33/100)^A16</f>
        <v>54.820290275721483</v>
      </c>
      <c r="AW16" s="4">
        <f t="shared" si="5"/>
        <v>1041.4095516420537</v>
      </c>
      <c r="AX16" s="4">
        <f t="shared" si="1"/>
        <v>0</v>
      </c>
      <c r="AZ16" s="4">
        <f t="shared" si="2"/>
        <v>117.51216079598845</v>
      </c>
      <c r="BA16" s="4">
        <f t="shared" si="2"/>
        <v>27.329572837442008</v>
      </c>
      <c r="BB16" s="4">
        <f t="shared" si="2"/>
        <v>7.9626665015727367</v>
      </c>
      <c r="BC16" s="4">
        <f t="shared" si="2"/>
        <v>2.7360432035286992</v>
      </c>
      <c r="BD16" s="4">
        <f t="shared" si="2"/>
        <v>1.0663573611317101</v>
      </c>
      <c r="BE16" s="4">
        <f t="shared" si="2"/>
        <v>0.45903187810932988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'Input&amp;Output'!$D$30*C17</f>
        <v>96.859382968203093</v>
      </c>
      <c r="G17" s="4">
        <f>'Input&amp;Output'!$D$30*D17</f>
        <v>145.28907445230462</v>
      </c>
      <c r="I17" s="4">
        <f t="shared" si="3"/>
        <v>242.14845742050773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v>78.684798950472654</v>
      </c>
      <c r="U17" s="4">
        <v>78.684798950472654</v>
      </c>
      <c r="W17" s="4">
        <v>242.14845742050773</v>
      </c>
      <c r="AG17" s="4">
        <f>IF(A17&lt;='Input&amp;Output'!$D$38,$K$8/'Input&amp;Output'!$D$38,0)</f>
        <v>21.9</v>
      </c>
      <c r="AH17" s="4">
        <v>78.684798950472654</v>
      </c>
      <c r="AK17" s="4">
        <f t="shared" si="4"/>
        <v>141.56365847003505</v>
      </c>
      <c r="AL17" s="4">
        <f>AK17*('Input&amp;Output'!$D$32/100)</f>
        <v>56.625463388014026</v>
      </c>
      <c r="AM17" s="8"/>
      <c r="AN17" s="5"/>
      <c r="AO17" s="4">
        <v>242.14845742050773</v>
      </c>
      <c r="AQ17" s="4">
        <v>78.684798950472654</v>
      </c>
      <c r="AR17" s="4">
        <v>56.625463388014026</v>
      </c>
      <c r="AS17" s="4">
        <f t="shared" si="0"/>
        <v>106.83819508202103</v>
      </c>
      <c r="AU17" s="4">
        <f>AS17/(1+'Input&amp;Output'!$D$33/100)^A17</f>
        <v>45.309824085500026</v>
      </c>
      <c r="AW17" s="4">
        <f t="shared" si="5"/>
        <v>1148.2477467240747</v>
      </c>
      <c r="AX17" s="4">
        <f t="shared" si="1"/>
        <v>0</v>
      </c>
      <c r="AZ17" s="4">
        <f t="shared" si="2"/>
        <v>106.83819508202103</v>
      </c>
      <c r="BA17" s="4">
        <f t="shared" si="2"/>
        <v>20.705957965945029</v>
      </c>
      <c r="BB17" s="4">
        <f t="shared" si="2"/>
        <v>5.1709962326186227</v>
      </c>
      <c r="BC17" s="4">
        <f t="shared" si="2"/>
        <v>1.5547003579852889</v>
      </c>
      <c r="BD17" s="4">
        <f t="shared" si="2"/>
        <v>0.53860948425361221</v>
      </c>
      <c r="BE17" s="4">
        <f t="shared" si="2"/>
        <v>0.20866834976957233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'Input&amp;Output'!$D$30*C18</f>
        <v>92.01641381979293</v>
      </c>
      <c r="G18" s="4">
        <f>'Input&amp;Output'!$D$30*D18</f>
        <v>138.02462072968939</v>
      </c>
      <c r="I18" s="4">
        <f t="shared" si="3"/>
        <v>230.04103454948233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v>84.086720169074482</v>
      </c>
      <c r="U18" s="4">
        <v>84.086720169074482</v>
      </c>
      <c r="W18" s="4">
        <v>230.04103454948233</v>
      </c>
      <c r="AG18" s="4">
        <f>IF(A18&lt;='Input&amp;Output'!$D$38,$K$8/'Input&amp;Output'!$D$38,0)</f>
        <v>21.9</v>
      </c>
      <c r="AH18" s="4">
        <v>84.086720169074482</v>
      </c>
      <c r="AK18" s="4">
        <f t="shared" si="4"/>
        <v>124.05431438040785</v>
      </c>
      <c r="AL18" s="4">
        <f>AK18*('Input&amp;Output'!$D$32/100)</f>
        <v>49.621725752163144</v>
      </c>
      <c r="AM18" s="8"/>
      <c r="AN18" s="5"/>
      <c r="AO18" s="4">
        <v>230.04103454948233</v>
      </c>
      <c r="AQ18" s="4">
        <v>84.086720169074482</v>
      </c>
      <c r="AR18" s="4">
        <v>49.621725752163144</v>
      </c>
      <c r="AS18" s="4">
        <f t="shared" si="0"/>
        <v>96.332588628244707</v>
      </c>
      <c r="AU18" s="4">
        <f>AS18/(1+'Input&amp;Output'!$D$33/100)^A18</f>
        <v>37.140383098995343</v>
      </c>
      <c r="AW18" s="4">
        <f t="shared" si="5"/>
        <v>1244.5803353523193</v>
      </c>
      <c r="AX18" s="4">
        <f t="shared" si="1"/>
        <v>0</v>
      </c>
      <c r="AZ18" s="4">
        <f t="shared" si="2"/>
        <v>96.332588628244707</v>
      </c>
      <c r="BA18" s="4">
        <f t="shared" si="2"/>
        <v>15.558250877692387</v>
      </c>
      <c r="BB18" s="4">
        <f t="shared" si="2"/>
        <v>3.3303729765814025</v>
      </c>
      <c r="BC18" s="4">
        <f t="shared" si="2"/>
        <v>0.87613978965459505</v>
      </c>
      <c r="BD18" s="4">
        <f t="shared" si="2"/>
        <v>0.26980387303353137</v>
      </c>
      <c r="BE18" s="4">
        <f t="shared" si="2"/>
        <v>9.4074793582270222E-2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'Input&amp;Output'!$D$30*C19</f>
        <v>87.41559312880328</v>
      </c>
      <c r="G19" s="4">
        <f>'Input&amp;Output'!$D$30*D19</f>
        <v>131.12338969320493</v>
      </c>
      <c r="I19" s="4">
        <f t="shared" si="3"/>
        <v>218.53898282200822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v>89.871113839195871</v>
      </c>
      <c r="U19" s="4">
        <v>89.871113839195871</v>
      </c>
      <c r="W19" s="4">
        <v>218.53898282200822</v>
      </c>
      <c r="AG19" s="4">
        <f>IF(A19&lt;='Input&amp;Output'!$D$38,$K$8/'Input&amp;Output'!$D$38,0)</f>
        <v>0</v>
      </c>
      <c r="AH19" s="4">
        <v>89.871113839195871</v>
      </c>
      <c r="AK19" s="4">
        <f t="shared" si="4"/>
        <v>128.66786898281237</v>
      </c>
      <c r="AL19" s="4">
        <f>AK19*('Input&amp;Output'!$D$32/100)</f>
        <v>51.467147593124949</v>
      </c>
      <c r="AM19" s="8"/>
      <c r="AN19" s="5"/>
      <c r="AO19" s="4">
        <v>218.53898282200822</v>
      </c>
      <c r="AQ19" s="4">
        <v>89.871113839195871</v>
      </c>
      <c r="AR19" s="4">
        <v>51.467147593124949</v>
      </c>
      <c r="AS19" s="4">
        <f t="shared" si="0"/>
        <v>77.200721389687416</v>
      </c>
      <c r="AU19" s="4">
        <f>AS19/(1+'Input&amp;Output'!$D$33/100)^A19</f>
        <v>27.058381882648067</v>
      </c>
      <c r="AW19" s="4">
        <f t="shared" si="5"/>
        <v>1321.7810567420067</v>
      </c>
      <c r="AX19" s="4">
        <f t="shared" si="1"/>
        <v>0</v>
      </c>
      <c r="AZ19" s="4">
        <f t="shared" si="2"/>
        <v>77.200721389687416</v>
      </c>
      <c r="BA19" s="4">
        <f t="shared" si="2"/>
        <v>10.390289589631708</v>
      </c>
      <c r="BB19" s="4">
        <f t="shared" si="2"/>
        <v>1.9063953327140297</v>
      </c>
      <c r="BC19" s="4">
        <f t="shared" si="2"/>
        <v>0.43883529423105377</v>
      </c>
      <c r="BD19" s="4">
        <f t="shared" si="2"/>
        <v>0.1201223451685082</v>
      </c>
      <c r="BE19" s="4">
        <f t="shared" si="2"/>
        <v>3.7695664741058309E-2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'Input&amp;Output'!$D$30*C20</f>
        <v>83.044813472363117</v>
      </c>
      <c r="G20" s="4">
        <f>'Input&amp;Output'!$D$30*D20</f>
        <v>124.56722020854468</v>
      </c>
      <c r="I20" s="4">
        <f t="shared" si="3"/>
        <v>207.61203368090781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v>96.065739134419545</v>
      </c>
      <c r="U20" s="4">
        <v>96.065739134419545</v>
      </c>
      <c r="W20" s="4">
        <v>207.61203368090781</v>
      </c>
      <c r="AG20" s="4">
        <f>IF(A20&lt;='Input&amp;Output'!$D$38,$K$8/'Input&amp;Output'!$D$38,0)</f>
        <v>0</v>
      </c>
      <c r="AH20" s="4">
        <v>96.065739134419545</v>
      </c>
      <c r="AK20" s="4">
        <f t="shared" si="4"/>
        <v>111.54629454648827</v>
      </c>
      <c r="AL20" s="4">
        <f>AK20*('Input&amp;Output'!$D$32/100)</f>
        <v>44.618517818595308</v>
      </c>
      <c r="AM20" s="8"/>
      <c r="AN20" s="5"/>
      <c r="AO20" s="4">
        <v>207.61203368090781</v>
      </c>
      <c r="AQ20" s="4">
        <v>96.065739134419545</v>
      </c>
      <c r="AR20" s="4">
        <v>44.618517818595308</v>
      </c>
      <c r="AS20" s="4">
        <f t="shared" si="0"/>
        <v>66.927776727892962</v>
      </c>
      <c r="AU20" s="4">
        <f>AS20/(1+'Input&amp;Output'!$D$33/100)^A20</f>
        <v>21.325252226344706</v>
      </c>
      <c r="AW20" s="4">
        <f t="shared" si="5"/>
        <v>1388.7088334698997</v>
      </c>
      <c r="AX20" s="4">
        <f t="shared" si="1"/>
        <v>0</v>
      </c>
      <c r="AZ20" s="4">
        <f t="shared" si="2"/>
        <v>66.927776727892962</v>
      </c>
      <c r="BA20" s="4">
        <f t="shared" si="2"/>
        <v>7.5063955499720878</v>
      </c>
      <c r="BB20" s="4">
        <f t="shared" si="2"/>
        <v>1.1805108154267436</v>
      </c>
      <c r="BC20" s="4">
        <f t="shared" si="2"/>
        <v>0.23777522787289082</v>
      </c>
      <c r="BD20" s="4">
        <f t="shared" si="2"/>
        <v>5.7854392439961627E-2</v>
      </c>
      <c r="BE20" s="4">
        <f t="shared" si="2"/>
        <v>1.6339789240208243E-2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'Input&amp;Output'!$D$30*C21</f>
        <v>78.892572798744965</v>
      </c>
      <c r="G21" s="4">
        <f>'Input&amp;Output'!$D$30*D21</f>
        <v>118.33885919811743</v>
      </c>
      <c r="I21" s="4">
        <f t="shared" si="3"/>
        <v>197.2314319968624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v>102.70042290464741</v>
      </c>
      <c r="U21" s="4">
        <v>102.70042290464741</v>
      </c>
      <c r="W21" s="4">
        <v>197.2314319968624</v>
      </c>
      <c r="AG21" s="4">
        <f>IF(A21&lt;='Input&amp;Output'!$D$38,$K$8/'Input&amp;Output'!$D$38,0)</f>
        <v>0</v>
      </c>
      <c r="AH21" s="4">
        <v>102.70042290464741</v>
      </c>
      <c r="AK21" s="4">
        <f t="shared" si="4"/>
        <v>94.531009092214987</v>
      </c>
      <c r="AL21" s="4">
        <f>AK21*('Input&amp;Output'!$D$32/100)</f>
        <v>37.812403636885996</v>
      </c>
      <c r="AM21" s="8"/>
      <c r="AN21" s="5"/>
      <c r="AO21" s="4">
        <v>197.2314319968624</v>
      </c>
      <c r="AQ21" s="4">
        <v>102.70042290464741</v>
      </c>
      <c r="AR21" s="4">
        <v>37.812403636885996</v>
      </c>
      <c r="AS21" s="4">
        <f t="shared" si="0"/>
        <v>56.718605455328991</v>
      </c>
      <c r="AU21" s="4">
        <f>AS21/(1+'Input&amp;Output'!$D$33/100)^A21</f>
        <v>16.429359668747786</v>
      </c>
      <c r="AW21" s="4">
        <f t="shared" si="5"/>
        <v>1445.4274389252287</v>
      </c>
      <c r="AX21" s="4">
        <f t="shared" si="1"/>
        <v>0</v>
      </c>
      <c r="AZ21" s="4">
        <f t="shared" si="2"/>
        <v>56.718605455328991</v>
      </c>
      <c r="BA21" s="4">
        <f t="shared" si="2"/>
        <v>5.301140876598434</v>
      </c>
      <c r="BB21" s="4">
        <f t="shared" si="2"/>
        <v>0.71459682201439889</v>
      </c>
      <c r="BC21" s="4">
        <f t="shared" si="2"/>
        <v>0.12594060340227234</v>
      </c>
      <c r="BD21" s="4">
        <f t="shared" si="2"/>
        <v>2.7238486844318455E-2</v>
      </c>
      <c r="BE21" s="4">
        <f t="shared" si="2"/>
        <v>6.9236578924962147E-3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'Input&amp;Output'!$D$30*C22</f>
        <v>74.947944158807701</v>
      </c>
      <c r="G22" s="4">
        <f>'Input&amp;Output'!$D$30*D22</f>
        <v>112.42191623821157</v>
      </c>
      <c r="I22" s="4">
        <f t="shared" si="3"/>
        <v>187.36986039701927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v>109.80721821883162</v>
      </c>
      <c r="U22" s="4">
        <v>109.80721821883162</v>
      </c>
      <c r="W22" s="4">
        <v>187.36986039701927</v>
      </c>
      <c r="AG22" s="4">
        <f>IF(A22&lt;='Input&amp;Output'!$D$38,$K$8/'Input&amp;Output'!$D$38,0)</f>
        <v>0</v>
      </c>
      <c r="AH22" s="4">
        <v>109.80721821883162</v>
      </c>
      <c r="AK22" s="4">
        <f t="shared" si="4"/>
        <v>77.562642178187645</v>
      </c>
      <c r="AL22" s="4">
        <f>AK22*('Input&amp;Output'!$D$32/100)</f>
        <v>31.025056871275059</v>
      </c>
      <c r="AM22" s="8"/>
      <c r="AN22" s="5"/>
      <c r="AO22" s="4">
        <v>187.36986039701927</v>
      </c>
      <c r="AQ22" s="4">
        <v>109.80721821883162</v>
      </c>
      <c r="AR22" s="4">
        <v>31.025056871275059</v>
      </c>
      <c r="AS22" s="4">
        <f t="shared" si="0"/>
        <v>46.53758530691259</v>
      </c>
      <c r="AU22" s="4">
        <f>AS22/(1+'Input&amp;Output'!$D$33/100)^A22</f>
        <v>12.25480071124548</v>
      </c>
      <c r="AW22" s="4">
        <f t="shared" si="5"/>
        <v>1491.9650242321413</v>
      </c>
      <c r="AX22" s="4">
        <f t="shared" si="1"/>
        <v>0</v>
      </c>
      <c r="AZ22" s="4">
        <f t="shared" si="2"/>
        <v>46.53758530691259</v>
      </c>
      <c r="BA22" s="4">
        <f t="shared" si="2"/>
        <v>3.6246527012340084</v>
      </c>
      <c r="BB22" s="4">
        <f t="shared" si="2"/>
        <v>0.41880450613002251</v>
      </c>
      <c r="BC22" s="4">
        <f t="shared" si="2"/>
        <v>6.4583873397739577E-2</v>
      </c>
      <c r="BD22" s="4">
        <f t="shared" si="2"/>
        <v>1.2416202124040097E-2</v>
      </c>
      <c r="BE22" s="4">
        <f t="shared" si="2"/>
        <v>2.8404287907051141E-3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'Input&amp;Output'!$D$30*C23</f>
        <v>71.20054695086732</v>
      </c>
      <c r="G23" s="4">
        <f>'Input&amp;Output'!$D$30*D23</f>
        <v>106.80082042630097</v>
      </c>
      <c r="I23" s="4">
        <f t="shared" si="3"/>
        <v>178.00136737716829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v>117.42057545990087</v>
      </c>
      <c r="U23" s="4">
        <v>117.42057545990087</v>
      </c>
      <c r="W23" s="4">
        <v>178.00136737716829</v>
      </c>
      <c r="AG23" s="4">
        <f>IF(A23&lt;='Input&amp;Output'!$D$38,$K$8/'Input&amp;Output'!$D$38,0)</f>
        <v>0</v>
      </c>
      <c r="AH23" s="4">
        <v>117.42057545990087</v>
      </c>
      <c r="AK23" s="4">
        <f t="shared" si="4"/>
        <v>60.580791917267419</v>
      </c>
      <c r="AL23" s="4">
        <f>AK23*('Input&amp;Output'!$D$32/100)</f>
        <v>24.232316766906969</v>
      </c>
      <c r="AM23" s="8"/>
      <c r="AN23" s="5"/>
      <c r="AO23" s="4">
        <v>178.00136737716829</v>
      </c>
      <c r="AQ23" s="4">
        <v>117.42057545990087</v>
      </c>
      <c r="AR23" s="4">
        <v>24.232316766906969</v>
      </c>
      <c r="AS23" s="4">
        <f t="shared" si="0"/>
        <v>36.34847515036045</v>
      </c>
      <c r="AU23" s="4">
        <f>AS23/(1+'Input&amp;Output'!$D$33/100)^A23</f>
        <v>8.7015359576888986</v>
      </c>
      <c r="AW23" s="4">
        <f t="shared" si="5"/>
        <v>1528.3134993825017</v>
      </c>
      <c r="AX23" s="4">
        <f t="shared" si="1"/>
        <v>0</v>
      </c>
      <c r="AZ23" s="4">
        <f t="shared" si="2"/>
        <v>36.34847515036045</v>
      </c>
      <c r="BA23" s="4">
        <f t="shared" si="2"/>
        <v>2.359214918626237</v>
      </c>
      <c r="BB23" s="4">
        <f t="shared" si="2"/>
        <v>0.23364993329787645</v>
      </c>
      <c r="BC23" s="4">
        <f t="shared" si="2"/>
        <v>3.1527276579644888E-2</v>
      </c>
      <c r="BD23" s="4">
        <f t="shared" si="2"/>
        <v>5.3876406372655753E-3</v>
      </c>
      <c r="BE23" s="4">
        <f t="shared" si="2"/>
        <v>1.1092674301257462E-3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'Input&amp;Output'!$D$30*C24</f>
        <v>67.640519603323952</v>
      </c>
      <c r="G24" s="4">
        <f>'Input&amp;Output'!$D$30*D24</f>
        <v>101.46077940498593</v>
      </c>
      <c r="I24" s="4">
        <f t="shared" si="3"/>
        <v>169.10129900830987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v>125.57752700005267</v>
      </c>
      <c r="U24" s="4">
        <v>125.57752700005267</v>
      </c>
      <c r="W24" s="4">
        <v>169.10129900830987</v>
      </c>
      <c r="AG24" s="4">
        <f>IF(A24&lt;='Input&amp;Output'!$D$38,$K$8/'Input&amp;Output'!$D$38,0)</f>
        <v>0</v>
      </c>
      <c r="AH24" s="4">
        <v>125.57752700005267</v>
      </c>
      <c r="AK24" s="4">
        <f t="shared" si="4"/>
        <v>43.523772008257197</v>
      </c>
      <c r="AL24" s="4">
        <f>AK24*('Input&amp;Output'!$D$32/100)</f>
        <v>17.409508803302881</v>
      </c>
      <c r="AM24" s="8"/>
      <c r="AN24" s="5"/>
      <c r="AO24" s="4">
        <v>169.10129900830987</v>
      </c>
      <c r="AQ24" s="4">
        <v>125.57752700005267</v>
      </c>
      <c r="AR24" s="4">
        <v>17.409508803302881</v>
      </c>
      <c r="AS24" s="4">
        <f t="shared" si="0"/>
        <v>26.114263204954316</v>
      </c>
      <c r="AU24" s="4">
        <f>AS24/(1+'Input&amp;Output'!$D$33/100)^A24</f>
        <v>5.6832245330906828</v>
      </c>
      <c r="AW24" s="4">
        <f t="shared" si="5"/>
        <v>1554.4277625874561</v>
      </c>
      <c r="AX24" s="4">
        <f t="shared" si="1"/>
        <v>0</v>
      </c>
      <c r="AZ24" s="4">
        <f t="shared" si="2"/>
        <v>26.114263204954316</v>
      </c>
      <c r="BA24" s="4">
        <f t="shared" si="2"/>
        <v>1.4124654722379621</v>
      </c>
      <c r="BB24" s="4">
        <f t="shared" si="2"/>
        <v>0.11990276720630109</v>
      </c>
      <c r="BC24" s="4">
        <f t="shared" si="2"/>
        <v>1.4156570449834847E-2</v>
      </c>
      <c r="BD24" s="4">
        <f t="shared" si="2"/>
        <v>2.1503922955847664E-3</v>
      </c>
      <c r="BE24" s="4">
        <f t="shared" si="2"/>
        <v>3.9847203376700311E-4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'Input&amp;Output'!$D$30*C25</f>
        <v>64.258493623157747</v>
      </c>
      <c r="G25" s="4">
        <f>'Input&amp;Output'!$D$30*D25</f>
        <v>96.387740434736614</v>
      </c>
      <c r="I25" s="4">
        <f t="shared" si="3"/>
        <v>160.64623405789436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v>134.31788657173794</v>
      </c>
      <c r="U25" s="4">
        <v>134.31788657173794</v>
      </c>
      <c r="W25" s="4">
        <v>160.64623405789436</v>
      </c>
      <c r="AG25" s="4">
        <f>IF(A25&lt;='Input&amp;Output'!$D$38,$K$8/'Input&amp;Output'!$D$38,0)</f>
        <v>0</v>
      </c>
      <c r="AH25" s="4">
        <v>134.31788657173794</v>
      </c>
      <c r="AK25" s="4">
        <f t="shared" si="4"/>
        <v>26.328347486156417</v>
      </c>
      <c r="AL25" s="4">
        <f>AK25*('Input&amp;Output'!$D$32/100)</f>
        <v>10.531338994462567</v>
      </c>
      <c r="AM25" s="8"/>
      <c r="AN25" s="5"/>
      <c r="AO25" s="4">
        <v>160.64623405789436</v>
      </c>
      <c r="AQ25" s="4">
        <v>134.31788657173794</v>
      </c>
      <c r="AR25" s="4">
        <v>10.531338994462567</v>
      </c>
      <c r="AS25" s="4">
        <f t="shared" si="0"/>
        <v>15.79700849169385</v>
      </c>
      <c r="AU25" s="4">
        <f>AS25/(1+'Input&amp;Output'!$D$33/100)^A25</f>
        <v>3.1253539146517912</v>
      </c>
      <c r="AW25" s="4">
        <f t="shared" si="5"/>
        <v>1570.2247710791498</v>
      </c>
      <c r="AX25" s="4">
        <f t="shared" si="1"/>
        <v>0</v>
      </c>
      <c r="AZ25" s="4">
        <f t="shared" si="2"/>
        <v>15.79700849169385</v>
      </c>
      <c r="BA25" s="4">
        <f t="shared" si="2"/>
        <v>0.71202241995906512</v>
      </c>
      <c r="BB25" s="4">
        <f t="shared" si="2"/>
        <v>5.1808169156719847E-2</v>
      </c>
      <c r="BC25" s="4">
        <f t="shared" si="2"/>
        <v>5.3522346642082509E-3</v>
      </c>
      <c r="BD25" s="4">
        <f t="shared" si="2"/>
        <v>7.2267372489590606E-4</v>
      </c>
      <c r="BE25" s="4">
        <f t="shared" si="2"/>
        <v>1.2052161019663887E-4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'Input&amp;Output'!$D$30*C26</f>
        <v>61.045568941999861</v>
      </c>
      <c r="G26" s="4">
        <f>'Input&amp;Output'!$D$30*D26</f>
        <v>91.568353412999798</v>
      </c>
      <c r="I26" s="4">
        <f t="shared" si="3"/>
        <v>152.61392235499966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v>143.68446454444995</v>
      </c>
      <c r="U26" s="4">
        <v>143.68446454444995</v>
      </c>
      <c r="W26" s="4">
        <v>152.61392235499966</v>
      </c>
      <c r="AG26" s="4">
        <f>IF(A26&lt;='Input&amp;Output'!$D$38,$K$8/'Input&amp;Output'!$D$38,0)</f>
        <v>0</v>
      </c>
      <c r="AH26" s="4">
        <v>143.68446454444995</v>
      </c>
      <c r="AK26" s="4">
        <f t="shared" si="4"/>
        <v>8.9294578105497067</v>
      </c>
      <c r="AL26" s="4">
        <f>AK26*('Input&amp;Output'!$D$32/100)</f>
        <v>3.5717831242198828</v>
      </c>
      <c r="AM26" s="8"/>
      <c r="AN26" s="5"/>
      <c r="AO26" s="4">
        <v>152.61392235499966</v>
      </c>
      <c r="AQ26" s="4">
        <v>143.68446454444995</v>
      </c>
      <c r="AR26" s="4">
        <v>3.5717831242198828</v>
      </c>
      <c r="AS26" s="4">
        <f t="shared" si="0"/>
        <v>5.3576746863298244</v>
      </c>
      <c r="AU26" s="4">
        <f>AS26/(1+'Input&amp;Output'!$D$33/100)^A26</f>
        <v>0.96362488581050798</v>
      </c>
      <c r="AW26" s="4">
        <f t="shared" si="5"/>
        <v>1575.5824457654796</v>
      </c>
      <c r="AX26" s="4">
        <f t="shared" si="1"/>
        <v>0</v>
      </c>
      <c r="AZ26" s="4">
        <f t="shared" si="2"/>
        <v>5.3576746863298244</v>
      </c>
      <c r="BA26" s="4">
        <f t="shared" si="2"/>
        <v>0.20123981583389772</v>
      </c>
      <c r="BB26" s="4">
        <f t="shared" si="2"/>
        <v>1.2550808346403052E-2</v>
      </c>
      <c r="BC26" s="4">
        <f t="shared" si="2"/>
        <v>1.1345317449979256E-3</v>
      </c>
      <c r="BD26" s="4">
        <f t="shared" si="2"/>
        <v>1.3616680526661878E-4</v>
      </c>
      <c r="BE26" s="4">
        <f t="shared" si="2"/>
        <v>2.0437906976050661E-5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'Input&amp;Output'!$D$30*C27</f>
        <v>57.993290494899867</v>
      </c>
      <c r="G27" s="4">
        <f>'Input&amp;Output'!$D$30*D27</f>
        <v>86.989935742349786</v>
      </c>
      <c r="I27" s="4">
        <f t="shared" si="3"/>
        <v>144.98322623724965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v>153.72330042053716</v>
      </c>
      <c r="U27" s="4">
        <v>153.72330042053716</v>
      </c>
      <c r="W27" s="4">
        <v>144.98322623724965</v>
      </c>
      <c r="AG27" s="4">
        <f>IF(A27&lt;='Input&amp;Output'!$D$38,$K$8/'Input&amp;Output'!$D$38,0)</f>
        <v>0</v>
      </c>
      <c r="AH27" s="4">
        <v>153.72330042053716</v>
      </c>
      <c r="AK27" s="4">
        <f t="shared" si="4"/>
        <v>0</v>
      </c>
      <c r="AL27" s="4">
        <f>AK27*('Input&amp;Output'!$D$32/100)</f>
        <v>0</v>
      </c>
      <c r="AM27" s="8"/>
      <c r="AN27" s="5"/>
      <c r="AO27" s="4">
        <v>144.98322623724965</v>
      </c>
      <c r="AQ27" s="4">
        <v>153.72330042053716</v>
      </c>
      <c r="AR27" s="4">
        <v>0</v>
      </c>
      <c r="AS27" s="4">
        <f t="shared" si="0"/>
        <v>-8.7400741832875042</v>
      </c>
      <c r="AU27" s="4">
        <f>AS27/(1+'Input&amp;Output'!$D$33/100)^A27</f>
        <v>-1.4290719693844081</v>
      </c>
      <c r="AW27" s="4">
        <f t="shared" si="5"/>
        <v>1566.8423715821921</v>
      </c>
      <c r="AX27" s="4">
        <f t="shared" si="1"/>
        <v>0</v>
      </c>
      <c r="AZ27" s="4">
        <f t="shared" si="2"/>
        <v>-8.7400741832875042</v>
      </c>
      <c r="BA27" s="4">
        <f t="shared" si="2"/>
        <v>-0.27357187305951841</v>
      </c>
      <c r="BB27" s="4">
        <f t="shared" si="2"/>
        <v>-1.4624547618934497E-2</v>
      </c>
      <c r="BC27" s="4">
        <f t="shared" si="2"/>
        <v>-1.1567391866705034E-3</v>
      </c>
      <c r="BD27" s="4">
        <f t="shared" si="2"/>
        <v>-1.2340635412515883E-4</v>
      </c>
      <c r="BE27" s="4">
        <f t="shared" si="2"/>
        <v>-1.6670368544173249E-5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'Input&amp;Output'!$D$30*C28</f>
        <v>55.093625970154875</v>
      </c>
      <c r="G28" s="4">
        <f>'Input&amp;Output'!$D$30*D28</f>
        <v>82.640438955232312</v>
      </c>
      <c r="H28" s="11"/>
      <c r="I28" s="4">
        <f t="shared" si="3"/>
        <v>137.7340649253872</v>
      </c>
      <c r="M28" s="11">
        <v>1.4859473959783542</v>
      </c>
      <c r="N28" s="11">
        <v>7.9598931154332622</v>
      </c>
      <c r="O28" s="11">
        <v>16.035677361064241</v>
      </c>
      <c r="P28" s="11">
        <v>0.43926841438126812</v>
      </c>
      <c r="Q28" s="11">
        <v>14.733224889023084</v>
      </c>
      <c r="R28" s="11">
        <v>7.739368924972359</v>
      </c>
      <c r="S28" s="11">
        <v>116.09053387458539</v>
      </c>
      <c r="T28" s="11">
        <v>164.48391397543796</v>
      </c>
      <c r="U28" s="11">
        <v>164.48391397543796</v>
      </c>
      <c r="W28" s="11">
        <v>137.7340649253872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4"/>
        <v>0</v>
      </c>
      <c r="AL28" s="4">
        <f>AK28*('Input&amp;Output'!$D$32/100)</f>
        <v>0</v>
      </c>
      <c r="AM28" s="18"/>
      <c r="AN28" s="5"/>
      <c r="AO28" s="11">
        <v>137.7340649253872</v>
      </c>
      <c r="AP28" s="11"/>
      <c r="AQ28" s="11">
        <v>164.48391397543796</v>
      </c>
      <c r="AR28" s="11">
        <v>0</v>
      </c>
      <c r="AS28" s="4">
        <f t="shared" si="0"/>
        <v>-26.749849050050756</v>
      </c>
      <c r="AU28" s="4">
        <f>AS28/(1+'Input&amp;Output'!$D$33/100)^A28</f>
        <v>-3.9761946118977325</v>
      </c>
      <c r="AV28" s="14"/>
      <c r="AW28" s="4">
        <f t="shared" si="5"/>
        <v>1540.0925225321414</v>
      </c>
      <c r="AX28" s="4">
        <f t="shared" si="1"/>
        <v>0</v>
      </c>
      <c r="AZ28" s="4">
        <f t="shared" si="2"/>
        <v>-26.749849050050756</v>
      </c>
      <c r="BA28" s="4">
        <f t="shared" si="2"/>
        <v>-0.69774448851122894</v>
      </c>
      <c r="BB28" s="4">
        <f t="shared" si="2"/>
        <v>-3.1971324027352567E-2</v>
      </c>
      <c r="BC28" s="4">
        <f t="shared" si="2"/>
        <v>-2.2126956522921962E-3</v>
      </c>
      <c r="BD28" s="4">
        <f t="shared" si="2"/>
        <v>-2.0983176492797136E-4</v>
      </c>
      <c r="BE28" s="4">
        <f t="shared" si="2"/>
        <v>-2.551064400677753E-5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2809.8316598505835</v>
      </c>
      <c r="I30" s="12">
        <f>SUM(I9:I29)</f>
        <v>4683.0527664176398</v>
      </c>
      <c r="M30" s="12">
        <f t="shared" ref="M30:W30" si="6">SUM(M9:M29)</f>
        <v>24.783317194896075</v>
      </c>
      <c r="N30" s="12">
        <f t="shared" si="6"/>
        <v>104.15775542409848</v>
      </c>
      <c r="O30" s="12">
        <f t="shared" si="6"/>
        <v>194.9636333788014</v>
      </c>
      <c r="P30" s="12">
        <f t="shared" si="6"/>
        <v>8.0061098525080752</v>
      </c>
      <c r="Q30" s="12">
        <f t="shared" si="6"/>
        <v>137.97547377925386</v>
      </c>
      <c r="R30" s="12">
        <f t="shared" si="6"/>
        <v>87.730353567434619</v>
      </c>
      <c r="S30" s="12">
        <f t="shared" si="6"/>
        <v>1315.9553035115193</v>
      </c>
      <c r="U30" s="12">
        <f t="shared" si="6"/>
        <v>1873.5719467085121</v>
      </c>
      <c r="W30" s="12">
        <f t="shared" si="6"/>
        <v>4683.0527664176398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2625.9707429424661</v>
      </c>
      <c r="AL30" s="12">
        <f>SUM(AL9:AL29)</f>
        <v>1050.3882971769867</v>
      </c>
      <c r="AM30" s="19" t="s">
        <v>82</v>
      </c>
      <c r="AO30" s="12">
        <f>SUM(AO8:AO29)</f>
        <v>4683.0527664176398</v>
      </c>
      <c r="AP30" s="12">
        <f>SUM(AP8:AP29)</f>
        <v>219</v>
      </c>
      <c r="AQ30" s="12">
        <f>SUM(AQ8:AQ29)</f>
        <v>1873.5719467085121</v>
      </c>
      <c r="AR30" s="12">
        <f>SUM(AR8:AR29)</f>
        <v>1050.3882971769867</v>
      </c>
      <c r="AS30" s="12">
        <f>SUM(AS8:AS29)</f>
        <v>1540.0925225321414</v>
      </c>
      <c r="AU30" s="15">
        <f>SUM(AU8:AU29)</f>
        <v>825.24822815922471</v>
      </c>
      <c r="AX30" s="16">
        <f>SUM(AX8:AX29)</f>
        <v>1.1022762750671766</v>
      </c>
      <c r="AZ30" s="12">
        <f t="shared" ref="AZ30:BE30" si="7">SUM(AZ8:AZ29)</f>
        <v>1540.0925225321414</v>
      </c>
      <c r="BA30" s="12">
        <f t="shared" si="7"/>
        <v>494.22707087600321</v>
      </c>
      <c r="BB30" s="12">
        <f t="shared" si="7"/>
        <v>204.97031595929172</v>
      </c>
      <c r="BC30" s="12">
        <f t="shared" si="7"/>
        <v>79.99219993043144</v>
      </c>
      <c r="BD30" s="12">
        <f t="shared" si="7"/>
        <v>11.481280850100811</v>
      </c>
      <c r="BE30" s="12">
        <f t="shared" si="7"/>
        <v>-31.590734366206512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825.24822815922471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0.84565702912404195</v>
      </c>
    </row>
    <row r="34" spans="45:48" ht="12" customHeight="1" thickBot="1" x14ac:dyDescent="0.25">
      <c r="AS34" s="75" t="s">
        <v>136</v>
      </c>
      <c r="AT34" s="76"/>
      <c r="AU34" s="77">
        <f>AX30</f>
        <v>1.1022762750671766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3.7682567495855008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A8CA-1C60-478C-93B8-214C10760C28}">
  <dimension ref="A1:BM35"/>
  <sheetViews>
    <sheetView workbookViewId="0">
      <selection activeCell="C9" sqref="C9:D28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19" width="5.6640625" style="4" customWidth="1"/>
    <col min="20" max="20" width="5.6640625" style="4" hidden="1" customWidth="1"/>
    <col min="21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'Opex=0.5'!M8:S8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'Input&amp;Output'!$D$30*C9</f>
        <v>146</v>
      </c>
      <c r="G9" s="4">
        <f>'Input&amp;Output'!$D$30*D9</f>
        <v>219</v>
      </c>
      <c r="I9" s="4">
        <f>SUM(F9:G9)</f>
        <v>365</v>
      </c>
      <c r="M9" s="4" cm="1">
        <f t="array" ref="M9:U28">'Opex=0.5'!M9:U28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v>46.482600000000005</v>
      </c>
      <c r="U9" s="4">
        <v>46.482600000000005</v>
      </c>
      <c r="W9" s="4" cm="1">
        <f t="array" ref="W9:W28">I9:I28</f>
        <v>365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296.61740000000003</v>
      </c>
      <c r="AL9" s="4">
        <f>AK9*('Input&amp;Output'!$D$32/100)</f>
        <v>118.64696000000002</v>
      </c>
      <c r="AM9" s="8"/>
      <c r="AN9" s="5"/>
      <c r="AO9" s="4" cm="1">
        <f t="array" ref="AO9:AO28">W9:W28</f>
        <v>365</v>
      </c>
      <c r="AQ9" s="4" cm="1">
        <f t="array" ref="AQ9:AQ28">U9:U28</f>
        <v>46.482600000000005</v>
      </c>
      <c r="AR9" s="4" cm="1">
        <f t="array" ref="AR9:AR28">AL9:AL28</f>
        <v>118.64696000000002</v>
      </c>
      <c r="AS9" s="4">
        <f t="shared" ref="AS9:AS28" si="0">AO9-AP9-AQ9-AR9</f>
        <v>199.87043999999997</v>
      </c>
      <c r="AU9" s="4">
        <f>AS9/(1+'Input&amp;Output'!$D$33/100)^A9</f>
        <v>181.70039999999997</v>
      </c>
      <c r="AW9" s="4">
        <f>AW8+AS9</f>
        <v>-19.129560000000026</v>
      </c>
      <c r="AX9" s="4">
        <f t="shared" ref="AX9:AX28" si="1">IF(AND(AW9&gt;0,AW8&lt;0),A8+ABS(AW8/AS9),0)</f>
        <v>0</v>
      </c>
      <c r="AZ9" s="4">
        <f t="shared" ref="AZ9:BE28" si="2">$AS9/(1+AZ$5)^$A9</f>
        <v>199.87043999999997</v>
      </c>
      <c r="BA9" s="4">
        <f t="shared" si="2"/>
        <v>166.55869999999999</v>
      </c>
      <c r="BB9" s="4">
        <f t="shared" si="2"/>
        <v>142.7646</v>
      </c>
      <c r="BC9" s="4">
        <f t="shared" si="2"/>
        <v>124.91902499999998</v>
      </c>
      <c r="BD9" s="4">
        <f t="shared" si="2"/>
        <v>111.03913333333331</v>
      </c>
      <c r="BE9" s="4">
        <f t="shared" si="2"/>
        <v>99.935219999999987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'Input&amp;Output'!$D$30*C10</f>
        <v>138.69999999999999</v>
      </c>
      <c r="G10" s="4">
        <f>'Input&amp;Output'!$D$30*D10</f>
        <v>208.05</v>
      </c>
      <c r="I10" s="4">
        <f t="shared" ref="I10:I28" si="3">SUM(F10:G10)</f>
        <v>346.75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v>49.619836000000006</v>
      </c>
      <c r="U10" s="4">
        <v>49.619836000000006</v>
      </c>
      <c r="W10" s="4">
        <v>346.75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4">MAX(0,W10-AH10-AG10)</f>
        <v>275.230164</v>
      </c>
      <c r="AL10" s="4">
        <f>AK10*('Input&amp;Output'!$D$32/100)</f>
        <v>110.09206560000001</v>
      </c>
      <c r="AM10" s="8"/>
      <c r="AN10" s="5"/>
      <c r="AO10" s="4">
        <v>346.75</v>
      </c>
      <c r="AQ10" s="4">
        <v>49.619836000000006</v>
      </c>
      <c r="AR10" s="4">
        <v>110.09206560000001</v>
      </c>
      <c r="AS10" s="4">
        <f t="shared" si="0"/>
        <v>187.03809839999997</v>
      </c>
      <c r="AU10" s="4">
        <f>AS10/(1+'Input&amp;Output'!$D$33/100)^A10</f>
        <v>154.57694082644622</v>
      </c>
      <c r="AW10" s="4">
        <f t="shared" ref="AW10:AW28" si="5">AW9+AS10</f>
        <v>167.90853839999994</v>
      </c>
      <c r="AX10" s="4">
        <f t="shared" si="1"/>
        <v>1.1022762750671766</v>
      </c>
      <c r="AZ10" s="4">
        <f t="shared" si="2"/>
        <v>187.03809839999997</v>
      </c>
      <c r="BA10" s="4">
        <f t="shared" si="2"/>
        <v>129.88756833333332</v>
      </c>
      <c r="BB10" s="4">
        <f t="shared" si="2"/>
        <v>95.427601224489791</v>
      </c>
      <c r="BC10" s="4">
        <f t="shared" si="2"/>
        <v>73.061757187499978</v>
      </c>
      <c r="BD10" s="4">
        <f t="shared" si="2"/>
        <v>57.727808148148135</v>
      </c>
      <c r="BE10" s="4">
        <f t="shared" si="2"/>
        <v>46.759524599999992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'Input&amp;Output'!$D$30*C11</f>
        <v>131.76499999999999</v>
      </c>
      <c r="G11" s="4">
        <f>'Input&amp;Output'!$D$30*D11</f>
        <v>197.64749999999998</v>
      </c>
      <c r="I11" s="4">
        <f t="shared" si="3"/>
        <v>329.41249999999997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v>52.976337360000002</v>
      </c>
      <c r="U11" s="4">
        <v>52.976337360000002</v>
      </c>
      <c r="W11" s="4">
        <v>329.41249999999997</v>
      </c>
      <c r="AG11" s="4">
        <f>IF(A11&lt;='Input&amp;Output'!$D$38,$K$8/'Input&amp;Output'!$D$38,0)</f>
        <v>21.9</v>
      </c>
      <c r="AH11" s="4">
        <v>52.976337360000002</v>
      </c>
      <c r="AK11" s="4">
        <f t="shared" si="4"/>
        <v>254.53616263999996</v>
      </c>
      <c r="AL11" s="4">
        <f>AK11*('Input&amp;Output'!$D$32/100)</f>
        <v>101.81446505599999</v>
      </c>
      <c r="AM11" s="8"/>
      <c r="AN11" s="5"/>
      <c r="AO11" s="4">
        <v>329.41249999999997</v>
      </c>
      <c r="AQ11" s="4">
        <v>52.976337360000002</v>
      </c>
      <c r="AR11" s="4">
        <v>101.81446505599999</v>
      </c>
      <c r="AS11" s="4">
        <f t="shared" si="0"/>
        <v>174.62169758399997</v>
      </c>
      <c r="AU11" s="4">
        <f>AS11/(1+'Input&amp;Output'!$D$33/100)^A11</f>
        <v>131.19586595341843</v>
      </c>
      <c r="AW11" s="4">
        <f t="shared" si="5"/>
        <v>342.53023598399989</v>
      </c>
      <c r="AX11" s="4">
        <f t="shared" si="1"/>
        <v>0</v>
      </c>
      <c r="AZ11" s="4">
        <f t="shared" si="2"/>
        <v>174.62169758399997</v>
      </c>
      <c r="BA11" s="4">
        <f t="shared" si="2"/>
        <v>101.05422313888887</v>
      </c>
      <c r="BB11" s="4">
        <f t="shared" si="2"/>
        <v>63.637644892128286</v>
      </c>
      <c r="BC11" s="4">
        <f t="shared" si="2"/>
        <v>42.632250386718731</v>
      </c>
      <c r="BD11" s="4">
        <f t="shared" si="2"/>
        <v>29.941992041152254</v>
      </c>
      <c r="BE11" s="4">
        <f t="shared" si="2"/>
        <v>21.827712197999997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'Input&amp;Output'!$D$30*C12</f>
        <v>125.17674999999998</v>
      </c>
      <c r="G12" s="4">
        <f>'Input&amp;Output'!$D$30*D12</f>
        <v>187.76512499999995</v>
      </c>
      <c r="I12" s="4">
        <f t="shared" si="3"/>
        <v>312.94187499999992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v>56.567804473600006</v>
      </c>
      <c r="U12" s="4">
        <v>56.567804473600006</v>
      </c>
      <c r="W12" s="4">
        <v>312.94187499999992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4"/>
        <v>234.47407052639991</v>
      </c>
      <c r="AL12" s="4">
        <f>AK12*('Input&amp;Output'!$D$32/100)</f>
        <v>93.789628210559968</v>
      </c>
      <c r="AM12" s="8"/>
      <c r="AN12" s="5"/>
      <c r="AO12" s="4">
        <v>312.94187499999992</v>
      </c>
      <c r="AQ12" s="4">
        <v>56.567804473600006</v>
      </c>
      <c r="AR12" s="4">
        <v>93.789628210559968</v>
      </c>
      <c r="AS12" s="4">
        <f t="shared" si="0"/>
        <v>162.58444231583996</v>
      </c>
      <c r="AU12" s="4">
        <f>AS12/(1+'Input&amp;Output'!$D$33/100)^A12</f>
        <v>111.04736173474484</v>
      </c>
      <c r="AW12" s="4">
        <f t="shared" si="5"/>
        <v>505.11467829983985</v>
      </c>
      <c r="AX12" s="4">
        <f t="shared" si="1"/>
        <v>0</v>
      </c>
      <c r="AZ12" s="4">
        <f t="shared" si="2"/>
        <v>162.58444231583996</v>
      </c>
      <c r="BA12" s="4">
        <f t="shared" si="2"/>
        <v>78.406849110648139</v>
      </c>
      <c r="BB12" s="4">
        <f t="shared" si="2"/>
        <v>42.322064326280717</v>
      </c>
      <c r="BC12" s="4">
        <f t="shared" si="2"/>
        <v>24.808417101415998</v>
      </c>
      <c r="BD12" s="4">
        <f t="shared" si="2"/>
        <v>15.487772663831727</v>
      </c>
      <c r="BE12" s="4">
        <f t="shared" si="2"/>
        <v>10.161527644739998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'Input&amp;Output'!$D$30*C13</f>
        <v>118.91791249999999</v>
      </c>
      <c r="G13" s="4">
        <f>'Input&amp;Output'!$D$30*D13</f>
        <v>178.37686875</v>
      </c>
      <c r="I13" s="4">
        <f t="shared" si="3"/>
        <v>297.29478124999997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v>60.411089279136007</v>
      </c>
      <c r="U13" s="4">
        <v>60.411089279136007</v>
      </c>
      <c r="W13" s="4">
        <v>297.29478124999997</v>
      </c>
      <c r="AG13" s="4">
        <f>IF(A13&lt;='Input&amp;Output'!$D$38,$K$8/'Input&amp;Output'!$D$38,0)</f>
        <v>21.9</v>
      </c>
      <c r="AH13" s="4">
        <v>60.411089279136007</v>
      </c>
      <c r="AK13" s="4">
        <f t="shared" si="4"/>
        <v>214.98369197086396</v>
      </c>
      <c r="AL13" s="4">
        <f>AK13*('Input&amp;Output'!$D$32/100)</f>
        <v>85.993476788345589</v>
      </c>
      <c r="AM13" s="8"/>
      <c r="AN13" s="5"/>
      <c r="AO13" s="4">
        <v>297.29478124999997</v>
      </c>
      <c r="AQ13" s="4">
        <v>60.411089279136007</v>
      </c>
      <c r="AR13" s="4">
        <v>85.993476788345589</v>
      </c>
      <c r="AS13" s="4">
        <f t="shared" si="0"/>
        <v>150.89021518251838</v>
      </c>
      <c r="AU13" s="4">
        <f>AS13/(1+'Input&amp;Output'!$D$33/100)^A13</f>
        <v>93.690952047809901</v>
      </c>
      <c r="AW13" s="4">
        <f t="shared" si="5"/>
        <v>656.00489348235828</v>
      </c>
      <c r="AX13" s="4">
        <f t="shared" si="1"/>
        <v>0</v>
      </c>
      <c r="AZ13" s="4">
        <f t="shared" si="2"/>
        <v>150.89021518251838</v>
      </c>
      <c r="BA13" s="4">
        <f t="shared" si="2"/>
        <v>60.639393318591814</v>
      </c>
      <c r="BB13" s="4">
        <f t="shared" si="2"/>
        <v>28.055686466672821</v>
      </c>
      <c r="BC13" s="4">
        <f t="shared" si="2"/>
        <v>14.390012281658009</v>
      </c>
      <c r="BD13" s="4">
        <f t="shared" si="2"/>
        <v>7.9854345110902774</v>
      </c>
      <c r="BE13" s="4">
        <f t="shared" si="2"/>
        <v>4.7153192244536992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'Input&amp;Output'!$D$30*C14</f>
        <v>112.97201687499998</v>
      </c>
      <c r="G14" s="4">
        <f>'Input&amp;Output'!$D$30*D14</f>
        <v>169.45802531249996</v>
      </c>
      <c r="I14" s="4">
        <f t="shared" si="3"/>
        <v>282.43004218749991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v>64.524282005803371</v>
      </c>
      <c r="U14" s="4">
        <v>64.524282005803371</v>
      </c>
      <c r="W14" s="4">
        <v>282.43004218749991</v>
      </c>
      <c r="AG14" s="4">
        <f>IF(A14&lt;='Input&amp;Output'!$D$38,$K$8/'Input&amp;Output'!$D$38,0)</f>
        <v>21.9</v>
      </c>
      <c r="AH14" s="4">
        <v>64.524282005803371</v>
      </c>
      <c r="AK14" s="4">
        <f t="shared" si="4"/>
        <v>196.00576018169653</v>
      </c>
      <c r="AL14" s="4">
        <f>AK14*('Input&amp;Output'!$D$32/100)</f>
        <v>78.402304072678618</v>
      </c>
      <c r="AM14" s="8"/>
      <c r="AN14" s="5"/>
      <c r="AO14" s="4">
        <v>282.43004218749991</v>
      </c>
      <c r="AQ14" s="4">
        <v>64.524282005803371</v>
      </c>
      <c r="AR14" s="4">
        <v>78.402304072678618</v>
      </c>
      <c r="AS14" s="4">
        <f t="shared" si="0"/>
        <v>139.50345610901792</v>
      </c>
      <c r="AU14" s="4">
        <f>AS14/(1+'Input&amp;Output'!$D$33/100)^A14</f>
        <v>78.746064125941956</v>
      </c>
      <c r="AW14" s="4">
        <f t="shared" si="5"/>
        <v>795.50834959137615</v>
      </c>
      <c r="AX14" s="4">
        <f t="shared" si="1"/>
        <v>0</v>
      </c>
      <c r="AZ14" s="4">
        <f t="shared" si="2"/>
        <v>139.50345610901792</v>
      </c>
      <c r="BA14" s="4">
        <f t="shared" si="2"/>
        <v>46.719425190830869</v>
      </c>
      <c r="BB14" s="4">
        <f t="shared" si="2"/>
        <v>18.527497060777449</v>
      </c>
      <c r="BC14" s="4">
        <f t="shared" si="2"/>
        <v>8.3150539463173061</v>
      </c>
      <c r="BD14" s="4">
        <f t="shared" si="2"/>
        <v>4.1015681923363161</v>
      </c>
      <c r="BE14" s="4">
        <f t="shared" si="2"/>
        <v>2.179741501703405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'Input&amp;Output'!$D$30*C15</f>
        <v>107.32341603124996</v>
      </c>
      <c r="G15" s="4">
        <f>'Input&amp;Output'!$D$30*D15</f>
        <v>160.98512404687494</v>
      </c>
      <c r="I15" s="4">
        <f t="shared" si="3"/>
        <v>268.30854007812491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v>68.926804653643131</v>
      </c>
      <c r="U15" s="4">
        <v>68.926804653643131</v>
      </c>
      <c r="W15" s="4">
        <v>268.30854007812491</v>
      </c>
      <c r="AG15" s="4">
        <f>IF(A15&lt;='Input&amp;Output'!$D$38,$K$8/'Input&amp;Output'!$D$38,0)</f>
        <v>21.9</v>
      </c>
      <c r="AH15" s="4">
        <v>68.926804653643131</v>
      </c>
      <c r="AK15" s="4">
        <f t="shared" si="4"/>
        <v>177.48173542448177</v>
      </c>
      <c r="AL15" s="4">
        <f>AK15*('Input&amp;Output'!$D$32/100)</f>
        <v>70.992694169792713</v>
      </c>
      <c r="AM15" s="8"/>
      <c r="AN15" s="5"/>
      <c r="AO15" s="4">
        <v>268.30854007812491</v>
      </c>
      <c r="AQ15" s="4">
        <v>68.926804653643131</v>
      </c>
      <c r="AR15" s="4">
        <v>70.992694169792713</v>
      </c>
      <c r="AS15" s="4">
        <f t="shared" si="0"/>
        <v>128.38904125468906</v>
      </c>
      <c r="AU15" s="4">
        <f>AS15/(1+'Input&amp;Output'!$D$33/100)^A15</f>
        <v>65.883878811700782</v>
      </c>
      <c r="AW15" s="4">
        <f t="shared" si="5"/>
        <v>923.89739084606526</v>
      </c>
      <c r="AX15" s="4">
        <f t="shared" si="1"/>
        <v>0</v>
      </c>
      <c r="AZ15" s="4">
        <f t="shared" si="2"/>
        <v>128.38904125468906</v>
      </c>
      <c r="BA15" s="4">
        <f t="shared" si="2"/>
        <v>35.831025120108109</v>
      </c>
      <c r="BB15" s="4">
        <f t="shared" si="2"/>
        <v>12.179562995523717</v>
      </c>
      <c r="BC15" s="4">
        <f t="shared" si="2"/>
        <v>4.7828644981491921</v>
      </c>
      <c r="BD15" s="4">
        <f t="shared" si="2"/>
        <v>2.0971061798691526</v>
      </c>
      <c r="BE15" s="4">
        <f t="shared" si="2"/>
        <v>1.0030393848022583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'Input&amp;Output'!$D$30*C16</f>
        <v>101.95724522968746</v>
      </c>
      <c r="G16" s="4">
        <f>'Input&amp;Output'!$D$30*D16</f>
        <v>152.93586784453117</v>
      </c>
      <c r="I16" s="4">
        <f t="shared" si="3"/>
        <v>254.89311307421863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v>73.63951174757122</v>
      </c>
      <c r="U16" s="4">
        <v>73.63951174757122</v>
      </c>
      <c r="W16" s="4">
        <v>254.89311307421863</v>
      </c>
      <c r="AG16" s="4">
        <f>IF(A16&lt;='Input&amp;Output'!$D$38,$K$8/'Input&amp;Output'!$D$38,0)</f>
        <v>21.9</v>
      </c>
      <c r="AH16" s="4">
        <v>73.63951174757122</v>
      </c>
      <c r="AK16" s="4">
        <f t="shared" si="4"/>
        <v>159.35360132664741</v>
      </c>
      <c r="AL16" s="4">
        <f>AK16*('Input&amp;Output'!$D$32/100)</f>
        <v>63.741440530658963</v>
      </c>
      <c r="AM16" s="8"/>
      <c r="AN16" s="5"/>
      <c r="AO16" s="4">
        <v>254.89311307421863</v>
      </c>
      <c r="AQ16" s="4">
        <v>73.63951174757122</v>
      </c>
      <c r="AR16" s="4">
        <v>63.741440530658963</v>
      </c>
      <c r="AS16" s="4">
        <f t="shared" si="0"/>
        <v>117.51216079598845</v>
      </c>
      <c r="AU16" s="4">
        <f>AS16/(1+'Input&amp;Output'!$D$33/100)^A16</f>
        <v>54.820290275721483</v>
      </c>
      <c r="AW16" s="4">
        <f t="shared" si="5"/>
        <v>1041.4095516420537</v>
      </c>
      <c r="AX16" s="4">
        <f t="shared" si="1"/>
        <v>0</v>
      </c>
      <c r="AZ16" s="4">
        <f t="shared" si="2"/>
        <v>117.51216079598845</v>
      </c>
      <c r="BA16" s="4">
        <f t="shared" si="2"/>
        <v>27.329572837442008</v>
      </c>
      <c r="BB16" s="4">
        <f t="shared" si="2"/>
        <v>7.9626665015727367</v>
      </c>
      <c r="BC16" s="4">
        <f t="shared" si="2"/>
        <v>2.7360432035286992</v>
      </c>
      <c r="BD16" s="4">
        <f t="shared" si="2"/>
        <v>1.0663573611317101</v>
      </c>
      <c r="BE16" s="4">
        <f t="shared" si="2"/>
        <v>0.45903187810932988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'Input&amp;Output'!$D$30*C17</f>
        <v>96.859382968203093</v>
      </c>
      <c r="G17" s="4">
        <f>'Input&amp;Output'!$D$30*D17</f>
        <v>145.28907445230462</v>
      </c>
      <c r="I17" s="4">
        <f t="shared" si="3"/>
        <v>242.14845742050773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v>78.684798950472654</v>
      </c>
      <c r="U17" s="4">
        <v>78.684798950472654</v>
      </c>
      <c r="W17" s="4">
        <v>242.14845742050773</v>
      </c>
      <c r="AG17" s="4">
        <f>IF(A17&lt;='Input&amp;Output'!$D$38,$K$8/'Input&amp;Output'!$D$38,0)</f>
        <v>21.9</v>
      </c>
      <c r="AH17" s="4">
        <v>78.684798950472654</v>
      </c>
      <c r="AK17" s="4">
        <f t="shared" si="4"/>
        <v>141.56365847003505</v>
      </c>
      <c r="AL17" s="4">
        <f>AK17*('Input&amp;Output'!$D$32/100)</f>
        <v>56.625463388014026</v>
      </c>
      <c r="AM17" s="8"/>
      <c r="AN17" s="5"/>
      <c r="AO17" s="4">
        <v>242.14845742050773</v>
      </c>
      <c r="AQ17" s="4">
        <v>78.684798950472654</v>
      </c>
      <c r="AR17" s="4">
        <v>56.625463388014026</v>
      </c>
      <c r="AS17" s="4">
        <f t="shared" si="0"/>
        <v>106.83819508202103</v>
      </c>
      <c r="AU17" s="4">
        <f>AS17/(1+'Input&amp;Output'!$D$33/100)^A17</f>
        <v>45.309824085500026</v>
      </c>
      <c r="AW17" s="4">
        <f t="shared" si="5"/>
        <v>1148.2477467240747</v>
      </c>
      <c r="AX17" s="4">
        <f t="shared" si="1"/>
        <v>0</v>
      </c>
      <c r="AZ17" s="4">
        <f t="shared" si="2"/>
        <v>106.83819508202103</v>
      </c>
      <c r="BA17" s="4">
        <f t="shared" si="2"/>
        <v>20.705957965945029</v>
      </c>
      <c r="BB17" s="4">
        <f t="shared" si="2"/>
        <v>5.1709962326186227</v>
      </c>
      <c r="BC17" s="4">
        <f t="shared" si="2"/>
        <v>1.5547003579852889</v>
      </c>
      <c r="BD17" s="4">
        <f t="shared" si="2"/>
        <v>0.53860948425361221</v>
      </c>
      <c r="BE17" s="4">
        <f t="shared" si="2"/>
        <v>0.20866834976957233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'Input&amp;Output'!$D$30*C18</f>
        <v>92.01641381979293</v>
      </c>
      <c r="G18" s="4">
        <f>'Input&amp;Output'!$D$30*D18</f>
        <v>138.02462072968939</v>
      </c>
      <c r="I18" s="4">
        <f t="shared" si="3"/>
        <v>230.04103454948233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v>84.086720169074482</v>
      </c>
      <c r="U18" s="4">
        <v>84.086720169074482</v>
      </c>
      <c r="W18" s="4">
        <v>230.04103454948233</v>
      </c>
      <c r="AG18" s="4">
        <f>IF(A18&lt;='Input&amp;Output'!$D$38,$K$8/'Input&amp;Output'!$D$38,0)</f>
        <v>21.9</v>
      </c>
      <c r="AH18" s="4">
        <v>84.086720169074482</v>
      </c>
      <c r="AK18" s="4">
        <f t="shared" si="4"/>
        <v>124.05431438040785</v>
      </c>
      <c r="AL18" s="4">
        <f>AK18*('Input&amp;Output'!$D$32/100)</f>
        <v>49.621725752163144</v>
      </c>
      <c r="AM18" s="8"/>
      <c r="AN18" s="5"/>
      <c r="AO18" s="4">
        <v>230.04103454948233</v>
      </c>
      <c r="AQ18" s="4">
        <v>84.086720169074482</v>
      </c>
      <c r="AR18" s="4">
        <v>49.621725752163144</v>
      </c>
      <c r="AS18" s="4">
        <f t="shared" si="0"/>
        <v>96.332588628244707</v>
      </c>
      <c r="AU18" s="4">
        <f>AS18/(1+'Input&amp;Output'!$D$33/100)^A18</f>
        <v>37.140383098995343</v>
      </c>
      <c r="AW18" s="4">
        <f t="shared" si="5"/>
        <v>1244.5803353523193</v>
      </c>
      <c r="AX18" s="4">
        <f t="shared" si="1"/>
        <v>0</v>
      </c>
      <c r="AZ18" s="4">
        <f t="shared" si="2"/>
        <v>96.332588628244707</v>
      </c>
      <c r="BA18" s="4">
        <f t="shared" si="2"/>
        <v>15.558250877692387</v>
      </c>
      <c r="BB18" s="4">
        <f t="shared" si="2"/>
        <v>3.3303729765814025</v>
      </c>
      <c r="BC18" s="4">
        <f t="shared" si="2"/>
        <v>0.87613978965459505</v>
      </c>
      <c r="BD18" s="4">
        <f t="shared" si="2"/>
        <v>0.26980387303353137</v>
      </c>
      <c r="BE18" s="4">
        <f t="shared" si="2"/>
        <v>9.4074793582270222E-2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'Input&amp;Output'!$D$30*C19</f>
        <v>87.41559312880328</v>
      </c>
      <c r="G19" s="4">
        <f>'Input&amp;Output'!$D$30*D19</f>
        <v>131.12338969320493</v>
      </c>
      <c r="I19" s="4">
        <f t="shared" si="3"/>
        <v>218.53898282200822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v>89.871113839195871</v>
      </c>
      <c r="U19" s="4">
        <v>89.871113839195871</v>
      </c>
      <c r="W19" s="4">
        <v>218.53898282200822</v>
      </c>
      <c r="AG19" s="4">
        <f>IF(A19&lt;='Input&amp;Output'!$D$38,$K$8/'Input&amp;Output'!$D$38,0)</f>
        <v>0</v>
      </c>
      <c r="AH19" s="4">
        <v>89.871113839195871</v>
      </c>
      <c r="AK19" s="4">
        <f t="shared" si="4"/>
        <v>128.66786898281237</v>
      </c>
      <c r="AL19" s="4">
        <f>AK19*('Input&amp;Output'!$D$32/100)</f>
        <v>51.467147593124949</v>
      </c>
      <c r="AM19" s="8"/>
      <c r="AN19" s="5"/>
      <c r="AO19" s="4">
        <v>218.53898282200822</v>
      </c>
      <c r="AQ19" s="4">
        <v>89.871113839195871</v>
      </c>
      <c r="AR19" s="4">
        <v>51.467147593124949</v>
      </c>
      <c r="AS19" s="4">
        <f t="shared" si="0"/>
        <v>77.200721389687416</v>
      </c>
      <c r="AU19" s="4">
        <f>AS19/(1+'Input&amp;Output'!$D$33/100)^A19</f>
        <v>27.058381882648067</v>
      </c>
      <c r="AW19" s="4">
        <f t="shared" si="5"/>
        <v>1321.7810567420067</v>
      </c>
      <c r="AX19" s="4">
        <f t="shared" si="1"/>
        <v>0</v>
      </c>
      <c r="AZ19" s="4">
        <f t="shared" si="2"/>
        <v>77.200721389687416</v>
      </c>
      <c r="BA19" s="4">
        <f t="shared" si="2"/>
        <v>10.390289589631708</v>
      </c>
      <c r="BB19" s="4">
        <f t="shared" si="2"/>
        <v>1.9063953327140297</v>
      </c>
      <c r="BC19" s="4">
        <f t="shared" si="2"/>
        <v>0.43883529423105377</v>
      </c>
      <c r="BD19" s="4">
        <f t="shared" si="2"/>
        <v>0.1201223451685082</v>
      </c>
      <c r="BE19" s="4">
        <f t="shared" si="2"/>
        <v>3.7695664741058309E-2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'Input&amp;Output'!$D$30*C20</f>
        <v>83.044813472363117</v>
      </c>
      <c r="G20" s="4">
        <f>'Input&amp;Output'!$D$30*D20</f>
        <v>124.56722020854468</v>
      </c>
      <c r="I20" s="4">
        <f t="shared" si="3"/>
        <v>207.61203368090781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v>96.065739134419545</v>
      </c>
      <c r="U20" s="4">
        <v>96.065739134419545</v>
      </c>
      <c r="W20" s="4">
        <v>207.61203368090781</v>
      </c>
      <c r="AG20" s="4">
        <f>IF(A20&lt;='Input&amp;Output'!$D$38,$K$8/'Input&amp;Output'!$D$38,0)</f>
        <v>0</v>
      </c>
      <c r="AH20" s="4">
        <v>96.065739134419545</v>
      </c>
      <c r="AK20" s="4">
        <f t="shared" si="4"/>
        <v>111.54629454648827</v>
      </c>
      <c r="AL20" s="4">
        <f>AK20*('Input&amp;Output'!$D$32/100)</f>
        <v>44.618517818595308</v>
      </c>
      <c r="AM20" s="8"/>
      <c r="AN20" s="5"/>
      <c r="AO20" s="4">
        <v>207.61203368090781</v>
      </c>
      <c r="AQ20" s="4">
        <v>96.065739134419545</v>
      </c>
      <c r="AR20" s="4">
        <v>44.618517818595308</v>
      </c>
      <c r="AS20" s="4">
        <f t="shared" si="0"/>
        <v>66.927776727892962</v>
      </c>
      <c r="AU20" s="4">
        <f>AS20/(1+'Input&amp;Output'!$D$33/100)^A20</f>
        <v>21.325252226344706</v>
      </c>
      <c r="AW20" s="4">
        <f t="shared" si="5"/>
        <v>1388.7088334698997</v>
      </c>
      <c r="AX20" s="4">
        <f t="shared" si="1"/>
        <v>0</v>
      </c>
      <c r="AZ20" s="4">
        <f t="shared" si="2"/>
        <v>66.927776727892962</v>
      </c>
      <c r="BA20" s="4">
        <f t="shared" si="2"/>
        <v>7.5063955499720878</v>
      </c>
      <c r="BB20" s="4">
        <f t="shared" si="2"/>
        <v>1.1805108154267436</v>
      </c>
      <c r="BC20" s="4">
        <f t="shared" si="2"/>
        <v>0.23777522787289082</v>
      </c>
      <c r="BD20" s="4">
        <f t="shared" si="2"/>
        <v>5.7854392439961627E-2</v>
      </c>
      <c r="BE20" s="4">
        <f t="shared" si="2"/>
        <v>1.6339789240208243E-2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'Input&amp;Output'!$D$30*C21</f>
        <v>78.892572798744965</v>
      </c>
      <c r="G21" s="4">
        <f>'Input&amp;Output'!$D$30*D21</f>
        <v>118.33885919811743</v>
      </c>
      <c r="I21" s="4">
        <f t="shared" si="3"/>
        <v>197.2314319968624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v>102.70042290464741</v>
      </c>
      <c r="U21" s="4">
        <v>102.70042290464741</v>
      </c>
      <c r="W21" s="4">
        <v>197.2314319968624</v>
      </c>
      <c r="AG21" s="4">
        <f>IF(A21&lt;='Input&amp;Output'!$D$38,$K$8/'Input&amp;Output'!$D$38,0)</f>
        <v>0</v>
      </c>
      <c r="AH21" s="4">
        <v>102.70042290464741</v>
      </c>
      <c r="AK21" s="4">
        <f t="shared" si="4"/>
        <v>94.531009092214987</v>
      </c>
      <c r="AL21" s="4">
        <f>AK21*('Input&amp;Output'!$D$32/100)</f>
        <v>37.812403636885996</v>
      </c>
      <c r="AM21" s="8"/>
      <c r="AN21" s="5"/>
      <c r="AO21" s="4">
        <v>197.2314319968624</v>
      </c>
      <c r="AQ21" s="4">
        <v>102.70042290464741</v>
      </c>
      <c r="AR21" s="4">
        <v>37.812403636885996</v>
      </c>
      <c r="AS21" s="4">
        <f t="shared" si="0"/>
        <v>56.718605455328991</v>
      </c>
      <c r="AU21" s="4">
        <f>AS21/(1+'Input&amp;Output'!$D$33/100)^A21</f>
        <v>16.429359668747786</v>
      </c>
      <c r="AW21" s="4">
        <f t="shared" si="5"/>
        <v>1445.4274389252287</v>
      </c>
      <c r="AX21" s="4">
        <f t="shared" si="1"/>
        <v>0</v>
      </c>
      <c r="AZ21" s="4">
        <f t="shared" si="2"/>
        <v>56.718605455328991</v>
      </c>
      <c r="BA21" s="4">
        <f t="shared" si="2"/>
        <v>5.301140876598434</v>
      </c>
      <c r="BB21" s="4">
        <f t="shared" si="2"/>
        <v>0.71459682201439889</v>
      </c>
      <c r="BC21" s="4">
        <f t="shared" si="2"/>
        <v>0.12594060340227234</v>
      </c>
      <c r="BD21" s="4">
        <f t="shared" si="2"/>
        <v>2.7238486844318455E-2</v>
      </c>
      <c r="BE21" s="4">
        <f t="shared" si="2"/>
        <v>6.9236578924962147E-3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'Input&amp;Output'!$D$30*C22</f>
        <v>74.947944158807701</v>
      </c>
      <c r="G22" s="4">
        <f>'Input&amp;Output'!$D$30*D22</f>
        <v>112.42191623821157</v>
      </c>
      <c r="I22" s="4">
        <f t="shared" si="3"/>
        <v>187.36986039701927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v>109.80721821883162</v>
      </c>
      <c r="U22" s="4">
        <v>109.80721821883162</v>
      </c>
      <c r="W22" s="4">
        <v>187.36986039701927</v>
      </c>
      <c r="AG22" s="4">
        <f>IF(A22&lt;='Input&amp;Output'!$D$38,$K$8/'Input&amp;Output'!$D$38,0)</f>
        <v>0</v>
      </c>
      <c r="AH22" s="4">
        <v>109.80721821883162</v>
      </c>
      <c r="AK22" s="4">
        <f t="shared" si="4"/>
        <v>77.562642178187645</v>
      </c>
      <c r="AL22" s="4">
        <f>AK22*('Input&amp;Output'!$D$32/100)</f>
        <v>31.025056871275059</v>
      </c>
      <c r="AM22" s="8"/>
      <c r="AN22" s="5"/>
      <c r="AO22" s="4">
        <v>187.36986039701927</v>
      </c>
      <c r="AQ22" s="4">
        <v>109.80721821883162</v>
      </c>
      <c r="AR22" s="4">
        <v>31.025056871275059</v>
      </c>
      <c r="AS22" s="4">
        <f t="shared" si="0"/>
        <v>46.53758530691259</v>
      </c>
      <c r="AU22" s="4">
        <f>AS22/(1+'Input&amp;Output'!$D$33/100)^A22</f>
        <v>12.25480071124548</v>
      </c>
      <c r="AW22" s="4">
        <f t="shared" si="5"/>
        <v>1491.9650242321413</v>
      </c>
      <c r="AX22" s="4">
        <f t="shared" si="1"/>
        <v>0</v>
      </c>
      <c r="AZ22" s="4">
        <f t="shared" si="2"/>
        <v>46.53758530691259</v>
      </c>
      <c r="BA22" s="4">
        <f t="shared" si="2"/>
        <v>3.6246527012340084</v>
      </c>
      <c r="BB22" s="4">
        <f t="shared" si="2"/>
        <v>0.41880450613002251</v>
      </c>
      <c r="BC22" s="4">
        <f t="shared" si="2"/>
        <v>6.4583873397739577E-2</v>
      </c>
      <c r="BD22" s="4">
        <f t="shared" si="2"/>
        <v>1.2416202124040097E-2</v>
      </c>
      <c r="BE22" s="4">
        <f t="shared" si="2"/>
        <v>2.8404287907051141E-3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'Input&amp;Output'!$D$30*C23</f>
        <v>71.20054695086732</v>
      </c>
      <c r="G23" s="4">
        <f>'Input&amp;Output'!$D$30*D23</f>
        <v>106.80082042630097</v>
      </c>
      <c r="I23" s="4">
        <f t="shared" si="3"/>
        <v>178.00136737716829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v>117.42057545990087</v>
      </c>
      <c r="U23" s="4">
        <v>117.42057545990087</v>
      </c>
      <c r="W23" s="4">
        <v>178.00136737716829</v>
      </c>
      <c r="AG23" s="4">
        <f>IF(A23&lt;='Input&amp;Output'!$D$38,$K$8/'Input&amp;Output'!$D$38,0)</f>
        <v>0</v>
      </c>
      <c r="AH23" s="4">
        <v>117.42057545990087</v>
      </c>
      <c r="AK23" s="4">
        <f t="shared" si="4"/>
        <v>60.580791917267419</v>
      </c>
      <c r="AL23" s="4">
        <f>AK23*('Input&amp;Output'!$D$32/100)</f>
        <v>24.232316766906969</v>
      </c>
      <c r="AM23" s="8"/>
      <c r="AN23" s="5"/>
      <c r="AO23" s="4">
        <v>178.00136737716829</v>
      </c>
      <c r="AQ23" s="4">
        <v>117.42057545990087</v>
      </c>
      <c r="AR23" s="4">
        <v>24.232316766906969</v>
      </c>
      <c r="AS23" s="4">
        <f t="shared" si="0"/>
        <v>36.34847515036045</v>
      </c>
      <c r="AU23" s="4">
        <f>AS23/(1+'Input&amp;Output'!$D$33/100)^A23</f>
        <v>8.7015359576888986</v>
      </c>
      <c r="AW23" s="4">
        <f t="shared" si="5"/>
        <v>1528.3134993825017</v>
      </c>
      <c r="AX23" s="4">
        <f t="shared" si="1"/>
        <v>0</v>
      </c>
      <c r="AZ23" s="4">
        <f t="shared" si="2"/>
        <v>36.34847515036045</v>
      </c>
      <c r="BA23" s="4">
        <f t="shared" si="2"/>
        <v>2.359214918626237</v>
      </c>
      <c r="BB23" s="4">
        <f t="shared" si="2"/>
        <v>0.23364993329787645</v>
      </c>
      <c r="BC23" s="4">
        <f t="shared" si="2"/>
        <v>3.1527276579644888E-2</v>
      </c>
      <c r="BD23" s="4">
        <f t="shared" si="2"/>
        <v>5.3876406372655753E-3</v>
      </c>
      <c r="BE23" s="4">
        <f t="shared" si="2"/>
        <v>1.1092674301257462E-3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'Input&amp;Output'!$D$30*C24</f>
        <v>67.640519603323952</v>
      </c>
      <c r="G24" s="4">
        <f>'Input&amp;Output'!$D$30*D24</f>
        <v>101.46077940498593</v>
      </c>
      <c r="I24" s="4">
        <f t="shared" si="3"/>
        <v>169.10129900830987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v>125.57752700005267</v>
      </c>
      <c r="U24" s="4">
        <v>125.57752700005267</v>
      </c>
      <c r="W24" s="4">
        <v>169.10129900830987</v>
      </c>
      <c r="AG24" s="4">
        <f>IF(A24&lt;='Input&amp;Output'!$D$38,$K$8/'Input&amp;Output'!$D$38,0)</f>
        <v>0</v>
      </c>
      <c r="AH24" s="4">
        <v>125.57752700005267</v>
      </c>
      <c r="AK24" s="4">
        <f t="shared" si="4"/>
        <v>43.523772008257197</v>
      </c>
      <c r="AL24" s="4">
        <f>AK24*('Input&amp;Output'!$D$32/100)</f>
        <v>17.409508803302881</v>
      </c>
      <c r="AM24" s="8"/>
      <c r="AN24" s="5"/>
      <c r="AO24" s="4">
        <v>169.10129900830987</v>
      </c>
      <c r="AQ24" s="4">
        <v>125.57752700005267</v>
      </c>
      <c r="AR24" s="4">
        <v>17.409508803302881</v>
      </c>
      <c r="AS24" s="4">
        <f t="shared" si="0"/>
        <v>26.114263204954316</v>
      </c>
      <c r="AU24" s="4">
        <f>AS24/(1+'Input&amp;Output'!$D$33/100)^A24</f>
        <v>5.6832245330906828</v>
      </c>
      <c r="AW24" s="4">
        <f t="shared" si="5"/>
        <v>1554.4277625874561</v>
      </c>
      <c r="AX24" s="4">
        <f t="shared" si="1"/>
        <v>0</v>
      </c>
      <c r="AZ24" s="4">
        <f t="shared" si="2"/>
        <v>26.114263204954316</v>
      </c>
      <c r="BA24" s="4">
        <f t="shared" si="2"/>
        <v>1.4124654722379621</v>
      </c>
      <c r="BB24" s="4">
        <f t="shared" si="2"/>
        <v>0.11990276720630109</v>
      </c>
      <c r="BC24" s="4">
        <f t="shared" si="2"/>
        <v>1.4156570449834847E-2</v>
      </c>
      <c r="BD24" s="4">
        <f t="shared" si="2"/>
        <v>2.1503922955847664E-3</v>
      </c>
      <c r="BE24" s="4">
        <f t="shared" si="2"/>
        <v>3.9847203376700311E-4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'Input&amp;Output'!$D$30*C25</f>
        <v>64.258493623157747</v>
      </c>
      <c r="G25" s="4">
        <f>'Input&amp;Output'!$D$30*D25</f>
        <v>96.387740434736614</v>
      </c>
      <c r="I25" s="4">
        <f t="shared" si="3"/>
        <v>160.64623405789436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v>134.31788657173794</v>
      </c>
      <c r="U25" s="4">
        <v>134.31788657173794</v>
      </c>
      <c r="W25" s="4">
        <v>160.64623405789436</v>
      </c>
      <c r="AG25" s="4">
        <f>IF(A25&lt;='Input&amp;Output'!$D$38,$K$8/'Input&amp;Output'!$D$38,0)</f>
        <v>0</v>
      </c>
      <c r="AH25" s="4">
        <v>134.31788657173794</v>
      </c>
      <c r="AK25" s="4">
        <f t="shared" si="4"/>
        <v>26.328347486156417</v>
      </c>
      <c r="AL25" s="4">
        <f>AK25*('Input&amp;Output'!$D$32/100)</f>
        <v>10.531338994462567</v>
      </c>
      <c r="AM25" s="8"/>
      <c r="AN25" s="5"/>
      <c r="AO25" s="4">
        <v>160.64623405789436</v>
      </c>
      <c r="AQ25" s="4">
        <v>134.31788657173794</v>
      </c>
      <c r="AR25" s="4">
        <v>10.531338994462567</v>
      </c>
      <c r="AS25" s="4">
        <f t="shared" si="0"/>
        <v>15.79700849169385</v>
      </c>
      <c r="AU25" s="4">
        <f>AS25/(1+'Input&amp;Output'!$D$33/100)^A25</f>
        <v>3.1253539146517912</v>
      </c>
      <c r="AW25" s="4">
        <f t="shared" si="5"/>
        <v>1570.2247710791498</v>
      </c>
      <c r="AX25" s="4">
        <f t="shared" si="1"/>
        <v>0</v>
      </c>
      <c r="AZ25" s="4">
        <f t="shared" si="2"/>
        <v>15.79700849169385</v>
      </c>
      <c r="BA25" s="4">
        <f t="shared" si="2"/>
        <v>0.71202241995906512</v>
      </c>
      <c r="BB25" s="4">
        <f t="shared" si="2"/>
        <v>5.1808169156719847E-2</v>
      </c>
      <c r="BC25" s="4">
        <f t="shared" si="2"/>
        <v>5.3522346642082509E-3</v>
      </c>
      <c r="BD25" s="4">
        <f t="shared" si="2"/>
        <v>7.2267372489590606E-4</v>
      </c>
      <c r="BE25" s="4">
        <f t="shared" si="2"/>
        <v>1.2052161019663887E-4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'Input&amp;Output'!$D$30*C26</f>
        <v>61.045568941999861</v>
      </c>
      <c r="G26" s="4">
        <f>'Input&amp;Output'!$D$30*D26</f>
        <v>91.568353412999798</v>
      </c>
      <c r="I26" s="4">
        <f t="shared" si="3"/>
        <v>152.61392235499966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v>143.68446454444995</v>
      </c>
      <c r="U26" s="4">
        <v>143.68446454444995</v>
      </c>
      <c r="W26" s="4">
        <v>152.61392235499966</v>
      </c>
      <c r="AG26" s="4">
        <f>IF(A26&lt;='Input&amp;Output'!$D$38,$K$8/'Input&amp;Output'!$D$38,0)</f>
        <v>0</v>
      </c>
      <c r="AH26" s="4">
        <v>143.68446454444995</v>
      </c>
      <c r="AK26" s="4">
        <f t="shared" si="4"/>
        <v>8.9294578105497067</v>
      </c>
      <c r="AL26" s="4">
        <f>AK26*('Input&amp;Output'!$D$32/100)</f>
        <v>3.5717831242198828</v>
      </c>
      <c r="AM26" s="8"/>
      <c r="AN26" s="5"/>
      <c r="AO26" s="4">
        <v>152.61392235499966</v>
      </c>
      <c r="AQ26" s="4">
        <v>143.68446454444995</v>
      </c>
      <c r="AR26" s="4">
        <v>3.5717831242198828</v>
      </c>
      <c r="AS26" s="4">
        <f t="shared" si="0"/>
        <v>5.3576746863298244</v>
      </c>
      <c r="AU26" s="4">
        <f>AS26/(1+'Input&amp;Output'!$D$33/100)^A26</f>
        <v>0.96362488581050798</v>
      </c>
      <c r="AW26" s="4">
        <f t="shared" si="5"/>
        <v>1575.5824457654796</v>
      </c>
      <c r="AX26" s="4">
        <f t="shared" si="1"/>
        <v>0</v>
      </c>
      <c r="AZ26" s="4">
        <f t="shared" si="2"/>
        <v>5.3576746863298244</v>
      </c>
      <c r="BA26" s="4">
        <f t="shared" si="2"/>
        <v>0.20123981583389772</v>
      </c>
      <c r="BB26" s="4">
        <f t="shared" si="2"/>
        <v>1.2550808346403052E-2</v>
      </c>
      <c r="BC26" s="4">
        <f t="shared" si="2"/>
        <v>1.1345317449979256E-3</v>
      </c>
      <c r="BD26" s="4">
        <f t="shared" si="2"/>
        <v>1.3616680526661878E-4</v>
      </c>
      <c r="BE26" s="4">
        <f t="shared" si="2"/>
        <v>2.0437906976050661E-5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'Input&amp;Output'!$D$30*C27</f>
        <v>57.993290494899867</v>
      </c>
      <c r="G27" s="4">
        <f>'Input&amp;Output'!$D$30*D27</f>
        <v>86.989935742349786</v>
      </c>
      <c r="I27" s="4">
        <f t="shared" si="3"/>
        <v>144.98322623724965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v>153.72330042053716</v>
      </c>
      <c r="U27" s="4">
        <v>153.72330042053716</v>
      </c>
      <c r="W27" s="4">
        <v>144.98322623724965</v>
      </c>
      <c r="AG27" s="4">
        <f>IF(A27&lt;='Input&amp;Output'!$D$38,$K$8/'Input&amp;Output'!$D$38,0)</f>
        <v>0</v>
      </c>
      <c r="AH27" s="4">
        <v>153.72330042053716</v>
      </c>
      <c r="AK27" s="4">
        <f t="shared" si="4"/>
        <v>0</v>
      </c>
      <c r="AL27" s="4">
        <f>AK27*('Input&amp;Output'!$D$32/100)</f>
        <v>0</v>
      </c>
      <c r="AM27" s="8"/>
      <c r="AN27" s="5"/>
      <c r="AO27" s="4">
        <v>144.98322623724965</v>
      </c>
      <c r="AQ27" s="4">
        <v>153.72330042053716</v>
      </c>
      <c r="AR27" s="4">
        <v>0</v>
      </c>
      <c r="AS27" s="4">
        <f t="shared" si="0"/>
        <v>-8.7400741832875042</v>
      </c>
      <c r="AU27" s="4">
        <f>AS27/(1+'Input&amp;Output'!$D$33/100)^A27</f>
        <v>-1.4290719693844081</v>
      </c>
      <c r="AW27" s="4">
        <f t="shared" si="5"/>
        <v>1566.8423715821921</v>
      </c>
      <c r="AX27" s="4">
        <f t="shared" si="1"/>
        <v>0</v>
      </c>
      <c r="AZ27" s="4">
        <f t="shared" si="2"/>
        <v>-8.7400741832875042</v>
      </c>
      <c r="BA27" s="4">
        <f t="shared" si="2"/>
        <v>-0.27357187305951841</v>
      </c>
      <c r="BB27" s="4">
        <f t="shared" si="2"/>
        <v>-1.4624547618934497E-2</v>
      </c>
      <c r="BC27" s="4">
        <f t="shared" si="2"/>
        <v>-1.1567391866705034E-3</v>
      </c>
      <c r="BD27" s="4">
        <f t="shared" si="2"/>
        <v>-1.2340635412515883E-4</v>
      </c>
      <c r="BE27" s="4">
        <f t="shared" si="2"/>
        <v>-1.6670368544173249E-5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'Input&amp;Output'!$D$30*C28</f>
        <v>55.093625970154875</v>
      </c>
      <c r="G28" s="4">
        <f>'Input&amp;Output'!$D$30*D28</f>
        <v>82.640438955232312</v>
      </c>
      <c r="H28" s="11"/>
      <c r="I28" s="4">
        <f t="shared" si="3"/>
        <v>137.7340649253872</v>
      </c>
      <c r="M28" s="11">
        <v>1.4859473959783542</v>
      </c>
      <c r="N28" s="11">
        <v>7.9598931154332622</v>
      </c>
      <c r="O28" s="11">
        <v>16.035677361064241</v>
      </c>
      <c r="P28" s="11">
        <v>0.43926841438126812</v>
      </c>
      <c r="Q28" s="11">
        <v>14.733224889023084</v>
      </c>
      <c r="R28" s="11">
        <v>7.739368924972359</v>
      </c>
      <c r="S28" s="11">
        <v>116.09053387458539</v>
      </c>
      <c r="T28" s="11">
        <v>164.48391397543796</v>
      </c>
      <c r="U28" s="11">
        <v>164.48391397543796</v>
      </c>
      <c r="W28" s="11">
        <v>137.7340649253872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4"/>
        <v>0</v>
      </c>
      <c r="AL28" s="4">
        <f>AK28*('Input&amp;Output'!$D$32/100)</f>
        <v>0</v>
      </c>
      <c r="AM28" s="18"/>
      <c r="AN28" s="5"/>
      <c r="AO28" s="11">
        <v>137.7340649253872</v>
      </c>
      <c r="AP28" s="11"/>
      <c r="AQ28" s="11">
        <v>164.48391397543796</v>
      </c>
      <c r="AR28" s="11">
        <v>0</v>
      </c>
      <c r="AS28" s="4">
        <f t="shared" si="0"/>
        <v>-26.749849050050756</v>
      </c>
      <c r="AU28" s="4">
        <f>AS28/(1+'Input&amp;Output'!$D$33/100)^A28</f>
        <v>-3.9761946118977325</v>
      </c>
      <c r="AV28" s="14"/>
      <c r="AW28" s="4">
        <f t="shared" si="5"/>
        <v>1540.0925225321414</v>
      </c>
      <c r="AX28" s="4">
        <f t="shared" si="1"/>
        <v>0</v>
      </c>
      <c r="AZ28" s="4">
        <f t="shared" si="2"/>
        <v>-26.749849050050756</v>
      </c>
      <c r="BA28" s="4">
        <f t="shared" si="2"/>
        <v>-0.69774448851122894</v>
      </c>
      <c r="BB28" s="4">
        <f t="shared" si="2"/>
        <v>-3.1971324027352567E-2</v>
      </c>
      <c r="BC28" s="4">
        <f t="shared" si="2"/>
        <v>-2.2126956522921962E-3</v>
      </c>
      <c r="BD28" s="4">
        <f t="shared" si="2"/>
        <v>-2.0983176492797136E-4</v>
      </c>
      <c r="BE28" s="4">
        <f t="shared" si="2"/>
        <v>-2.551064400677753E-5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2809.8316598505835</v>
      </c>
      <c r="I30" s="12">
        <f>SUM(I9:I29)</f>
        <v>4683.0527664176398</v>
      </c>
      <c r="M30" s="12">
        <f t="shared" ref="M30:W30" si="6">SUM(M9:M29)</f>
        <v>24.783317194896075</v>
      </c>
      <c r="N30" s="12">
        <f t="shared" si="6"/>
        <v>104.15775542409848</v>
      </c>
      <c r="O30" s="12">
        <f t="shared" si="6"/>
        <v>194.9636333788014</v>
      </c>
      <c r="P30" s="12">
        <f t="shared" si="6"/>
        <v>8.0061098525080752</v>
      </c>
      <c r="Q30" s="12">
        <f t="shared" si="6"/>
        <v>137.97547377925386</v>
      </c>
      <c r="R30" s="12">
        <f t="shared" si="6"/>
        <v>87.730353567434619</v>
      </c>
      <c r="S30" s="12">
        <f t="shared" si="6"/>
        <v>1315.9553035115193</v>
      </c>
      <c r="U30" s="12">
        <f t="shared" si="6"/>
        <v>1873.5719467085121</v>
      </c>
      <c r="W30" s="12">
        <f t="shared" si="6"/>
        <v>4683.0527664176398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2625.9707429424661</v>
      </c>
      <c r="AL30" s="12">
        <f>SUM(AL9:AL29)</f>
        <v>1050.3882971769867</v>
      </c>
      <c r="AM30" s="19" t="s">
        <v>82</v>
      </c>
      <c r="AO30" s="12">
        <f>SUM(AO8:AO29)</f>
        <v>4683.0527664176398</v>
      </c>
      <c r="AP30" s="12">
        <f>SUM(AP8:AP29)</f>
        <v>219</v>
      </c>
      <c r="AQ30" s="12">
        <f>SUM(AQ8:AQ29)</f>
        <v>1873.5719467085121</v>
      </c>
      <c r="AR30" s="12">
        <f>SUM(AR8:AR29)</f>
        <v>1050.3882971769867</v>
      </c>
      <c r="AS30" s="12">
        <f>SUM(AS8:AS29)</f>
        <v>1540.0925225321414</v>
      </c>
      <c r="AU30" s="15">
        <f>SUM(AU8:AU29)</f>
        <v>825.24822815922471</v>
      </c>
      <c r="AX30" s="16">
        <f>SUM(AX8:AX29)</f>
        <v>1.1022762750671766</v>
      </c>
      <c r="AZ30" s="12">
        <f t="shared" ref="AZ30:BE30" si="7">SUM(AZ8:AZ29)</f>
        <v>1540.0925225321414</v>
      </c>
      <c r="BA30" s="12">
        <f t="shared" si="7"/>
        <v>494.22707087600321</v>
      </c>
      <c r="BB30" s="12">
        <f t="shared" si="7"/>
        <v>204.97031595929172</v>
      </c>
      <c r="BC30" s="12">
        <f t="shared" si="7"/>
        <v>79.99219993043144</v>
      </c>
      <c r="BD30" s="12">
        <f t="shared" si="7"/>
        <v>11.481280850100811</v>
      </c>
      <c r="BE30" s="12">
        <f t="shared" si="7"/>
        <v>-31.590734366206512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825.24822815922471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0.84565702912404195</v>
      </c>
    </row>
    <row r="34" spans="45:48" ht="12" customHeight="1" thickBot="1" x14ac:dyDescent="0.25">
      <c r="AS34" s="75" t="s">
        <v>136</v>
      </c>
      <c r="AT34" s="76"/>
      <c r="AU34" s="77">
        <f>AX30</f>
        <v>1.1022762750671766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3.7682567495855008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1A79-A0A1-4CDE-8041-2F6C7447D3A5}">
  <dimension ref="A1:BM35"/>
  <sheetViews>
    <sheetView workbookViewId="0">
      <selection activeCell="M8" sqref="M8:S28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 t="s">
        <v>82</v>
      </c>
      <c r="U5" s="10"/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SUM(('Input&amp;Output'!$D$10*'Input&amp;Output'!$D$11)+(('Input&amp;Output'!$D$12*('Input&amp;Output'!$D$13+'Input&amp;Output'!$D$14)*'Input&amp;Output'!$D$15)/1000000)+('Input&amp;Output'!$D$16)+('Input&amp;Output'!$D$17))</f>
        <v>219</v>
      </c>
      <c r="M8" s="4" cm="1">
        <f t="array" ref="M8:S8">'Opex=min'!M8:S8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AS8/(1+'Input&amp;Output'!$D$33/100)^AM8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C9*'Input&amp;Output'!$D$30*(1+'Input&amp;Output'!$G$30/100)^$A9</f>
        <v>148.92000000000002</v>
      </c>
      <c r="G9" s="4">
        <f>D9*'Input&amp;Output'!$D$31*(1+'Input&amp;Output'!$G$31/100)^'Cash Flow'!$A9</f>
        <v>16.424999999999997</v>
      </c>
      <c r="I9" s="4">
        <f>SUM(F9:G9)</f>
        <v>165.34500000000003</v>
      </c>
      <c r="M9" s="4" cm="1">
        <f t="array" ref="M9:S27">'Opex=min'!M9:S27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T9" s="4">
        <f>SUM(M9:S9)</f>
        <v>46.482600000000005</v>
      </c>
      <c r="W9" s="4">
        <f>I9</f>
        <v>165.34500000000003</v>
      </c>
      <c r="AG9" s="4">
        <f>IF(A9&lt;='Input&amp;Output'!$D$38,$K$8/'Input&amp;Output'!$D$38,0)</f>
        <v>21.9</v>
      </c>
      <c r="AH9" s="4">
        <f>SUM(M9:S9)</f>
        <v>46.482600000000005</v>
      </c>
      <c r="AI9" s="4">
        <f>I9</f>
        <v>165.34500000000003</v>
      </c>
      <c r="AJ9" s="4">
        <f>AI9+AJ8</f>
        <v>165.34500000000003</v>
      </c>
      <c r="AK9" s="4">
        <f>IF(AJ9&lt;0,0,IF(AJ8&lt;0,AJ9,AI9))</f>
        <v>165.34500000000003</v>
      </c>
      <c r="AL9" s="4">
        <f>IF(AK9&lt;0,0,AK9*'Input&amp;Output'!$D$32/100)</f>
        <v>66.138000000000005</v>
      </c>
      <c r="AM9" s="8"/>
      <c r="AN9" s="5"/>
      <c r="AO9" s="4">
        <f>W9</f>
        <v>165.34500000000003</v>
      </c>
      <c r="AQ9" s="4">
        <f>AH9</f>
        <v>46.482600000000005</v>
      </c>
      <c r="AR9" s="4">
        <f>AL9</f>
        <v>66.138000000000005</v>
      </c>
      <c r="AS9" s="4">
        <f>AO9-AP9-AQ9-AR9</f>
        <v>52.724400000000017</v>
      </c>
      <c r="AU9" s="4">
        <f>AS9/(1+'Input&amp;Output'!$D$33/100)^AM9</f>
        <v>52.724400000000017</v>
      </c>
      <c r="AW9" s="4">
        <f>AW8+AS9</f>
        <v>-166.2756</v>
      </c>
      <c r="AX9" s="4">
        <f t="shared" ref="AX9:AX28" si="0">IF(AND(AW9&gt;0,AW8&lt;0),A8+ABS(AW8/AS9),0)</f>
        <v>0</v>
      </c>
      <c r="AZ9" s="4">
        <f t="shared" ref="AZ9:BE28" si="1">$AS9/(1+AZ$5)^$A9</f>
        <v>52.724400000000017</v>
      </c>
      <c r="BA9" s="4">
        <f t="shared" si="1"/>
        <v>43.937000000000019</v>
      </c>
      <c r="BB9" s="4">
        <f t="shared" si="1"/>
        <v>37.660285714285727</v>
      </c>
      <c r="BC9" s="4">
        <f t="shared" si="1"/>
        <v>32.952750000000009</v>
      </c>
      <c r="BD9" s="4">
        <f t="shared" si="1"/>
        <v>29.291333333333341</v>
      </c>
      <c r="BE9" s="4">
        <f t="shared" si="1"/>
        <v>26.362200000000009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C10*'Input&amp;Output'!$D$30*(1+'Input&amp;Output'!$G$30/100)^$A10</f>
        <v>144.30347999999998</v>
      </c>
      <c r="G10" s="4">
        <f>D10*'Input&amp;Output'!$D$31*(1+'Input&amp;Output'!$G$31/100)^'Cash Flow'!$A10</f>
        <v>15.60375</v>
      </c>
      <c r="I10" s="4">
        <f t="shared" ref="I10:I28" si="2">SUM(F10:G10)</f>
        <v>159.90722999999997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T10" s="4">
        <f t="shared" ref="T10:T28" si="3">SUM(M10:S10)</f>
        <v>49.619836000000006</v>
      </c>
      <c r="W10" s="4">
        <f t="shared" ref="W10:W28" si="4">I10</f>
        <v>159.90722999999997</v>
      </c>
      <c r="AG10" s="4">
        <f>IF(A10&lt;='Input&amp;Output'!$D$38,$K$8/'Input&amp;Output'!$D$38,0)</f>
        <v>21.9</v>
      </c>
      <c r="AH10" s="4">
        <f t="shared" ref="AH10:AH28" si="5">SUM(M10:S10)</f>
        <v>49.619836000000006</v>
      </c>
      <c r="AI10" s="4">
        <f t="shared" ref="AI10:AI28" si="6">I10</f>
        <v>159.90722999999997</v>
      </c>
      <c r="AJ10" s="4">
        <f t="shared" ref="AJ10:AJ28" si="7">AI10+AJ9</f>
        <v>325.25223</v>
      </c>
      <c r="AK10" s="4">
        <f t="shared" ref="AK10:AK28" si="8">IF(AJ10&lt;0,0,IF(AJ9&lt;0,AJ10,AI10))</f>
        <v>159.90722999999997</v>
      </c>
      <c r="AL10" s="4">
        <f>IF(AK10&lt;0,0,AK10*'Input&amp;Output'!$D$32/100)</f>
        <v>63.962891999999989</v>
      </c>
      <c r="AM10" s="8"/>
      <c r="AN10" s="5"/>
      <c r="AO10" s="4">
        <f t="shared" ref="AO10:AO28" si="9">W10</f>
        <v>159.90722999999997</v>
      </c>
      <c r="AQ10" s="4">
        <f t="shared" ref="AQ10:AQ28" si="10">AH10</f>
        <v>49.619836000000006</v>
      </c>
      <c r="AR10" s="4">
        <f t="shared" ref="AR10:AR28" si="11">AL10</f>
        <v>63.962891999999989</v>
      </c>
      <c r="AS10" s="4">
        <f t="shared" ref="AS9:AS28" si="12">AO10-AP10-AQ10-AR10</f>
        <v>46.324501999999974</v>
      </c>
      <c r="AU10" s="4">
        <f>AS10/(1+'Input&amp;Output'!$D$33/100)^AM10</f>
        <v>46.324501999999974</v>
      </c>
      <c r="AW10" s="4">
        <f t="shared" ref="AW10:AW28" si="13">AW9+AS10</f>
        <v>-119.95109800000003</v>
      </c>
      <c r="AX10" s="4">
        <f t="shared" si="0"/>
        <v>0</v>
      </c>
      <c r="AZ10" s="4">
        <f t="shared" si="1"/>
        <v>46.324501999999974</v>
      </c>
      <c r="BA10" s="4">
        <f t="shared" si="1"/>
        <v>32.169793055555537</v>
      </c>
      <c r="BB10" s="4">
        <f t="shared" si="1"/>
        <v>23.634949999999989</v>
      </c>
      <c r="BC10" s="4">
        <f t="shared" si="1"/>
        <v>18.095508593749987</v>
      </c>
      <c r="BD10" s="4">
        <f t="shared" si="1"/>
        <v>14.297685802469127</v>
      </c>
      <c r="BE10" s="4">
        <f t="shared" si="1"/>
        <v>11.581125499999994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C11*'Input&amp;Output'!$D$30*(1+'Input&amp;Output'!$G$30/100)^$A11</f>
        <v>139.83007211999998</v>
      </c>
      <c r="G11" s="4">
        <f>D11*'Input&amp;Output'!$D$31*(1+'Input&amp;Output'!$G$31/100)^'Cash Flow'!$A11</f>
        <v>14.8235625</v>
      </c>
      <c r="I11" s="4">
        <f t="shared" si="2"/>
        <v>154.65363461999999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T11" s="4">
        <f t="shared" si="3"/>
        <v>52.976337360000002</v>
      </c>
      <c r="W11" s="4">
        <f t="shared" si="4"/>
        <v>154.65363461999999</v>
      </c>
      <c r="AG11" s="4">
        <f>IF(A11&lt;='Input&amp;Output'!$D$38,$K$8/'Input&amp;Output'!$D$38,0)</f>
        <v>21.9</v>
      </c>
      <c r="AH11" s="4">
        <f t="shared" si="5"/>
        <v>52.976337360000002</v>
      </c>
      <c r="AI11" s="4">
        <f t="shared" si="6"/>
        <v>154.65363461999999</v>
      </c>
      <c r="AJ11" s="4">
        <f t="shared" si="7"/>
        <v>479.90586461999999</v>
      </c>
      <c r="AK11" s="4">
        <f t="shared" si="8"/>
        <v>154.65363461999999</v>
      </c>
      <c r="AL11" s="4">
        <f>IF(AK11&lt;0,0,AK11*'Input&amp;Output'!$D$32/100)</f>
        <v>61.861453848000004</v>
      </c>
      <c r="AM11" s="8"/>
      <c r="AN11" s="5"/>
      <c r="AO11" s="4">
        <f t="shared" si="9"/>
        <v>154.65363461999999</v>
      </c>
      <c r="AQ11" s="4">
        <f t="shared" si="10"/>
        <v>52.976337360000002</v>
      </c>
      <c r="AR11" s="4">
        <f t="shared" si="11"/>
        <v>61.861453848000004</v>
      </c>
      <c r="AS11" s="4">
        <f t="shared" si="12"/>
        <v>39.815843411999985</v>
      </c>
      <c r="AU11" s="4">
        <f>AS11/(1+'Input&amp;Output'!$D$33/100)^AM11</f>
        <v>39.815843411999985</v>
      </c>
      <c r="AW11" s="4">
        <f t="shared" si="13"/>
        <v>-80.135254588000038</v>
      </c>
      <c r="AX11" s="4">
        <f t="shared" si="0"/>
        <v>0</v>
      </c>
      <c r="AZ11" s="4">
        <f t="shared" si="1"/>
        <v>39.815843411999985</v>
      </c>
      <c r="BA11" s="4">
        <f t="shared" si="1"/>
        <v>23.041576048611102</v>
      </c>
      <c r="BB11" s="4">
        <f t="shared" si="1"/>
        <v>14.510147016034983</v>
      </c>
      <c r="BC11" s="4">
        <f t="shared" si="1"/>
        <v>9.7206648955078059</v>
      </c>
      <c r="BD11" s="4">
        <f t="shared" si="1"/>
        <v>6.8271336440329184</v>
      </c>
      <c r="BE11" s="4">
        <f t="shared" si="1"/>
        <v>4.9769804264999982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C12*'Input&amp;Output'!$D$30*(1+'Input&amp;Output'!$G$30/100)^$A12</f>
        <v>135.49533988427999</v>
      </c>
      <c r="G12" s="4">
        <f>D12*'Input&amp;Output'!$D$31*(1+'Input&amp;Output'!$G$31/100)^'Cash Flow'!$A12</f>
        <v>14.082384374999997</v>
      </c>
      <c r="I12" s="4">
        <f t="shared" si="2"/>
        <v>149.57772425927999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T12" s="4">
        <f t="shared" si="3"/>
        <v>56.567804473600006</v>
      </c>
      <c r="W12" s="4">
        <f t="shared" si="4"/>
        <v>149.57772425927999</v>
      </c>
      <c r="AG12" s="4">
        <f>IF(A12&lt;='Input&amp;Output'!$D$38,$K$8/'Input&amp;Output'!$D$38,0)</f>
        <v>21.9</v>
      </c>
      <c r="AH12" s="4">
        <f t="shared" si="5"/>
        <v>56.567804473600006</v>
      </c>
      <c r="AI12" s="4">
        <f t="shared" si="6"/>
        <v>149.57772425927999</v>
      </c>
      <c r="AJ12" s="4">
        <f t="shared" si="7"/>
        <v>629.48358887927998</v>
      </c>
      <c r="AK12" s="4">
        <f t="shared" si="8"/>
        <v>149.57772425927999</v>
      </c>
      <c r="AL12" s="4">
        <f>IF(AK12&lt;0,0,AK12*'Input&amp;Output'!$D$32/100)</f>
        <v>59.831089703711996</v>
      </c>
      <c r="AM12" s="8"/>
      <c r="AN12" s="5"/>
      <c r="AO12" s="4">
        <f t="shared" si="9"/>
        <v>149.57772425927999</v>
      </c>
      <c r="AQ12" s="4">
        <f t="shared" si="10"/>
        <v>56.567804473600006</v>
      </c>
      <c r="AR12" s="4">
        <f t="shared" si="11"/>
        <v>59.831089703711996</v>
      </c>
      <c r="AS12" s="4">
        <f t="shared" si="12"/>
        <v>33.178830081967988</v>
      </c>
      <c r="AU12" s="4">
        <f>AS12/(1+'Input&amp;Output'!$D$33/100)^AM12</f>
        <v>33.178830081967988</v>
      </c>
      <c r="AW12" s="4">
        <f t="shared" si="13"/>
        <v>-46.95642450603205</v>
      </c>
      <c r="AX12" s="4">
        <f t="shared" si="0"/>
        <v>0</v>
      </c>
      <c r="AZ12" s="4">
        <f t="shared" si="1"/>
        <v>33.178830081967988</v>
      </c>
      <c r="BA12" s="4">
        <f t="shared" si="1"/>
        <v>16.000593210825613</v>
      </c>
      <c r="BB12" s="4">
        <f t="shared" si="1"/>
        <v>8.636721699804248</v>
      </c>
      <c r="BC12" s="4">
        <f t="shared" si="1"/>
        <v>5.0626876956127891</v>
      </c>
      <c r="BD12" s="4">
        <f t="shared" si="1"/>
        <v>3.1606110046075275</v>
      </c>
      <c r="BE12" s="4">
        <f t="shared" si="1"/>
        <v>2.0736768801229992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C13*'Input&amp;Output'!$D$30*(1+'Input&amp;Output'!$G$30/100)^$A13</f>
        <v>131.29498434786731</v>
      </c>
      <c r="G13" s="4">
        <f>D13*'Input&amp;Output'!$D$31*(1+'Input&amp;Output'!$G$31/100)^'Cash Flow'!$A13</f>
        <v>13.378265156249999</v>
      </c>
      <c r="I13" s="4">
        <f t="shared" si="2"/>
        <v>144.67324950411731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T13" s="4">
        <f t="shared" si="3"/>
        <v>60.411089279136007</v>
      </c>
      <c r="W13" s="4">
        <f t="shared" si="4"/>
        <v>144.67324950411731</v>
      </c>
      <c r="AG13" s="4">
        <f>IF(A13&lt;='Input&amp;Output'!$D$38,$K$8/'Input&amp;Output'!$D$38,0)</f>
        <v>21.9</v>
      </c>
      <c r="AH13" s="4">
        <f t="shared" si="5"/>
        <v>60.411089279136007</v>
      </c>
      <c r="AI13" s="4">
        <f t="shared" si="6"/>
        <v>144.67324950411731</v>
      </c>
      <c r="AJ13" s="4">
        <f t="shared" si="7"/>
        <v>774.15683838339726</v>
      </c>
      <c r="AK13" s="4">
        <f t="shared" si="8"/>
        <v>144.67324950411731</v>
      </c>
      <c r="AL13" s="4">
        <f>IF(AK13&lt;0,0,AK13*'Input&amp;Output'!$D$32/100)</f>
        <v>57.869299801646918</v>
      </c>
      <c r="AM13" s="8"/>
      <c r="AN13" s="5"/>
      <c r="AO13" s="4">
        <f t="shared" si="9"/>
        <v>144.67324950411731</v>
      </c>
      <c r="AQ13" s="4">
        <f t="shared" si="10"/>
        <v>60.411089279136007</v>
      </c>
      <c r="AR13" s="4">
        <f t="shared" si="11"/>
        <v>57.869299801646918</v>
      </c>
      <c r="AS13" s="4">
        <f t="shared" si="12"/>
        <v>26.392860423334383</v>
      </c>
      <c r="AU13" s="4">
        <f>AS13/(1+'Input&amp;Output'!$D$33/100)^AM13</f>
        <v>26.392860423334383</v>
      </c>
      <c r="AW13" s="4">
        <f t="shared" si="13"/>
        <v>-20.563564082697667</v>
      </c>
      <c r="AX13" s="4">
        <f t="shared" si="0"/>
        <v>0</v>
      </c>
      <c r="AZ13" s="4">
        <f t="shared" si="1"/>
        <v>26.392860423334383</v>
      </c>
      <c r="BA13" s="4">
        <f t="shared" si="1"/>
        <v>10.606698665498966</v>
      </c>
      <c r="BB13" s="4">
        <f t="shared" si="1"/>
        <v>4.9073415138287606</v>
      </c>
      <c r="BC13" s="4">
        <f t="shared" si="1"/>
        <v>2.5170193122228972</v>
      </c>
      <c r="BD13" s="4">
        <f t="shared" si="1"/>
        <v>1.3967669024525382</v>
      </c>
      <c r="BE13" s="4">
        <f t="shared" si="1"/>
        <v>0.82477688822919948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C14*'Input&amp;Output'!$D$30*(1+'Input&amp;Output'!$G$30/100)^$A14</f>
        <v>127.22483983308342</v>
      </c>
      <c r="G14" s="4">
        <f>D14*'Input&amp;Output'!$D$31*(1+'Input&amp;Output'!$G$31/100)^'Cash Flow'!$A14</f>
        <v>12.709351898437497</v>
      </c>
      <c r="I14" s="4">
        <f t="shared" si="2"/>
        <v>139.93419173152091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T14" s="4">
        <f t="shared" si="3"/>
        <v>64.524282005803371</v>
      </c>
      <c r="W14" s="4">
        <f t="shared" si="4"/>
        <v>139.93419173152091</v>
      </c>
      <c r="AG14" s="4">
        <f>IF(A14&lt;='Input&amp;Output'!$D$38,$K$8/'Input&amp;Output'!$D$38,0)</f>
        <v>21.9</v>
      </c>
      <c r="AH14" s="4">
        <f t="shared" si="5"/>
        <v>64.524282005803371</v>
      </c>
      <c r="AI14" s="4">
        <f t="shared" si="6"/>
        <v>139.93419173152091</v>
      </c>
      <c r="AJ14" s="4">
        <f t="shared" si="7"/>
        <v>914.09103011491811</v>
      </c>
      <c r="AK14" s="4">
        <f t="shared" si="8"/>
        <v>139.93419173152091</v>
      </c>
      <c r="AL14" s="4">
        <f>IF(AK14&lt;0,0,AK14*'Input&amp;Output'!$D$32/100)</f>
        <v>55.973676692608372</v>
      </c>
      <c r="AM14" s="8"/>
      <c r="AN14" s="5"/>
      <c r="AO14" s="4">
        <f t="shared" si="9"/>
        <v>139.93419173152091</v>
      </c>
      <c r="AQ14" s="4">
        <f t="shared" si="10"/>
        <v>64.524282005803371</v>
      </c>
      <c r="AR14" s="4">
        <f t="shared" si="11"/>
        <v>55.973676692608372</v>
      </c>
      <c r="AS14" s="4">
        <f t="shared" si="12"/>
        <v>19.436233033109168</v>
      </c>
      <c r="AU14" s="4">
        <f>AS14/(1+'Input&amp;Output'!$D$33/100)^AM14</f>
        <v>19.436233033109168</v>
      </c>
      <c r="AW14" s="4">
        <f t="shared" si="13"/>
        <v>-1.1273310495884985</v>
      </c>
      <c r="AX14" s="4">
        <f t="shared" si="0"/>
        <v>0</v>
      </c>
      <c r="AZ14" s="4">
        <f t="shared" si="1"/>
        <v>19.436233033109168</v>
      </c>
      <c r="BA14" s="4">
        <f t="shared" si="1"/>
        <v>6.5091551170767055</v>
      </c>
      <c r="BB14" s="4">
        <f t="shared" si="1"/>
        <v>2.5813321077300349</v>
      </c>
      <c r="BC14" s="4">
        <f t="shared" si="1"/>
        <v>1.1584897657101845</v>
      </c>
      <c r="BD14" s="4">
        <f t="shared" si="1"/>
        <v>0.57144846020975171</v>
      </c>
      <c r="BE14" s="4">
        <f t="shared" si="1"/>
        <v>0.30369114114233076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C15*'Input&amp;Output'!$D$30*(1+'Input&amp;Output'!$G$30/100)^$A15</f>
        <v>123.28086979825778</v>
      </c>
      <c r="G15" s="4">
        <f>D15*'Input&amp;Output'!$D$31*(1+'Input&amp;Output'!$G$31/100)^'Cash Flow'!$A15</f>
        <v>12.073884303515619</v>
      </c>
      <c r="I15" s="4">
        <f t="shared" si="2"/>
        <v>135.35475410177341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T15" s="4">
        <f t="shared" si="3"/>
        <v>68.926804653643131</v>
      </c>
      <c r="W15" s="4">
        <f t="shared" si="4"/>
        <v>135.35475410177341</v>
      </c>
      <c r="AG15" s="4">
        <f>IF(A15&lt;='Input&amp;Output'!$D$38,$K$8/'Input&amp;Output'!$D$38,0)</f>
        <v>21.9</v>
      </c>
      <c r="AH15" s="4">
        <f t="shared" si="5"/>
        <v>68.926804653643131</v>
      </c>
      <c r="AI15" s="4">
        <f t="shared" si="6"/>
        <v>135.35475410177341</v>
      </c>
      <c r="AJ15" s="4">
        <f t="shared" si="7"/>
        <v>1049.4457842166914</v>
      </c>
      <c r="AK15" s="4">
        <f t="shared" si="8"/>
        <v>135.35475410177341</v>
      </c>
      <c r="AL15" s="4">
        <f>IF(AK15&lt;0,0,AK15*'Input&amp;Output'!$D$32/100)</f>
        <v>54.141901640709364</v>
      </c>
      <c r="AM15" s="8"/>
      <c r="AN15" s="5"/>
      <c r="AO15" s="4">
        <f t="shared" si="9"/>
        <v>135.35475410177341</v>
      </c>
      <c r="AQ15" s="4">
        <f t="shared" si="10"/>
        <v>68.926804653643131</v>
      </c>
      <c r="AR15" s="4">
        <f t="shared" si="11"/>
        <v>54.141901640709364</v>
      </c>
      <c r="AS15" s="4">
        <f t="shared" si="12"/>
        <v>12.286047807420914</v>
      </c>
      <c r="AU15" s="4">
        <f>AS15/(1+'Input&amp;Output'!$D$33/100)^AM15</f>
        <v>12.286047807420914</v>
      </c>
      <c r="AW15" s="4">
        <f t="shared" si="13"/>
        <v>11.158716757832416</v>
      </c>
      <c r="AX15" s="4">
        <f t="shared" si="0"/>
        <v>6.0917570130980261</v>
      </c>
      <c r="AZ15" s="4">
        <f t="shared" si="1"/>
        <v>12.286047807420914</v>
      </c>
      <c r="BA15" s="4">
        <f t="shared" si="1"/>
        <v>3.4288104600864449</v>
      </c>
      <c r="BB15" s="4">
        <f t="shared" si="1"/>
        <v>1.1655098579609802</v>
      </c>
      <c r="BC15" s="4">
        <f t="shared" si="1"/>
        <v>0.45769094703424368</v>
      </c>
      <c r="BD15" s="4">
        <f t="shared" si="1"/>
        <v>0.20068026469641737</v>
      </c>
      <c r="BE15" s="4">
        <f t="shared" si="1"/>
        <v>9.5984748495475891E-2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C16*'Input&amp;Output'!$D$30*(1+'Input&amp;Output'!$G$30/100)^$A16</f>
        <v>119.4591628345118</v>
      </c>
      <c r="G16" s="4">
        <f>D16*'Input&amp;Output'!$D$31*(1+'Input&amp;Output'!$G$31/100)^'Cash Flow'!$A16</f>
        <v>11.470190088339839</v>
      </c>
      <c r="I16" s="4">
        <f t="shared" si="2"/>
        <v>130.92935292285165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T16" s="4">
        <f t="shared" si="3"/>
        <v>73.63951174757122</v>
      </c>
      <c r="W16" s="4">
        <f t="shared" si="4"/>
        <v>130.92935292285165</v>
      </c>
      <c r="AG16" s="4">
        <f>IF(A16&lt;='Input&amp;Output'!$D$38,$K$8/'Input&amp;Output'!$D$38,0)</f>
        <v>21.9</v>
      </c>
      <c r="AH16" s="4">
        <f t="shared" si="5"/>
        <v>73.63951174757122</v>
      </c>
      <c r="AI16" s="4">
        <f t="shared" si="6"/>
        <v>130.92935292285165</v>
      </c>
      <c r="AJ16" s="4">
        <f t="shared" si="7"/>
        <v>1180.3751371395431</v>
      </c>
      <c r="AK16" s="4">
        <f t="shared" si="8"/>
        <v>130.92935292285165</v>
      </c>
      <c r="AL16" s="4">
        <f>IF(AK16&lt;0,0,AK16*'Input&amp;Output'!$D$32/100)</f>
        <v>52.371741169140662</v>
      </c>
      <c r="AM16" s="8"/>
      <c r="AN16" s="5"/>
      <c r="AO16" s="4">
        <f t="shared" si="9"/>
        <v>130.92935292285165</v>
      </c>
      <c r="AQ16" s="4">
        <f t="shared" si="10"/>
        <v>73.63951174757122</v>
      </c>
      <c r="AR16" s="4">
        <f t="shared" si="11"/>
        <v>52.371741169140662</v>
      </c>
      <c r="AS16" s="4">
        <f t="shared" si="12"/>
        <v>4.9181000061397668</v>
      </c>
      <c r="AU16" s="4">
        <f>AS16/(1+'Input&amp;Output'!$D$33/100)^AM16</f>
        <v>4.9181000061397668</v>
      </c>
      <c r="AW16" s="4">
        <f t="shared" si="13"/>
        <v>16.076816763972182</v>
      </c>
      <c r="AX16" s="4">
        <f t="shared" si="0"/>
        <v>0</v>
      </c>
      <c r="AZ16" s="4">
        <f t="shared" si="1"/>
        <v>4.9181000061397668</v>
      </c>
      <c r="BA16" s="4">
        <f t="shared" si="1"/>
        <v>1.143792875811106</v>
      </c>
      <c r="BB16" s="4">
        <f t="shared" si="1"/>
        <v>0.33325223453478231</v>
      </c>
      <c r="BC16" s="4">
        <f t="shared" si="1"/>
        <v>0.11450843899836211</v>
      </c>
      <c r="BD16" s="4">
        <f t="shared" si="1"/>
        <v>4.4629016340137634E-2</v>
      </c>
      <c r="BE16" s="4">
        <f t="shared" si="1"/>
        <v>1.9211328148983464E-2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C17*'Input&amp;Output'!$D$30*(1+'Input&amp;Output'!$G$30/100)^$A17</f>
        <v>115.75592878664195</v>
      </c>
      <c r="G17" s="4">
        <f>D17*'Input&amp;Output'!$D$31*(1+'Input&amp;Output'!$G$31/100)^'Cash Flow'!$A17</f>
        <v>10.896680583922848</v>
      </c>
      <c r="I17" s="4">
        <f t="shared" si="2"/>
        <v>126.65260937056479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T17" s="4">
        <f t="shared" si="3"/>
        <v>78.684798950472654</v>
      </c>
      <c r="W17" s="4">
        <f t="shared" si="4"/>
        <v>126.65260937056479</v>
      </c>
      <c r="AG17" s="4">
        <f>IF(A17&lt;='Input&amp;Output'!$D$38,$K$8/'Input&amp;Output'!$D$38,0)</f>
        <v>21.9</v>
      </c>
      <c r="AH17" s="4">
        <f t="shared" si="5"/>
        <v>78.684798950472654</v>
      </c>
      <c r="AI17" s="4">
        <f t="shared" si="6"/>
        <v>126.65260937056479</v>
      </c>
      <c r="AJ17" s="4">
        <f t="shared" si="7"/>
        <v>1307.0277465101078</v>
      </c>
      <c r="AK17" s="4">
        <f t="shared" si="8"/>
        <v>126.65260937056479</v>
      </c>
      <c r="AL17" s="4">
        <f>IF(AK17&lt;0,0,AK17*'Input&amp;Output'!$D$32/100)</f>
        <v>50.661043748225914</v>
      </c>
      <c r="AM17" s="8"/>
      <c r="AN17" s="5"/>
      <c r="AO17" s="4">
        <f t="shared" si="9"/>
        <v>126.65260937056479</v>
      </c>
      <c r="AQ17" s="4">
        <f t="shared" si="10"/>
        <v>78.684798950472654</v>
      </c>
      <c r="AR17" s="4">
        <f t="shared" si="11"/>
        <v>50.661043748225914</v>
      </c>
      <c r="AS17" s="4">
        <f t="shared" si="12"/>
        <v>-2.693233328133779</v>
      </c>
      <c r="AU17" s="4">
        <f>AS17/(1+'Input&amp;Output'!$D$33/100)^AM17</f>
        <v>-2.693233328133779</v>
      </c>
      <c r="AW17" s="4">
        <f t="shared" si="13"/>
        <v>13.383583435838403</v>
      </c>
      <c r="AX17" s="4">
        <f t="shared" si="0"/>
        <v>0</v>
      </c>
      <c r="AZ17" s="4">
        <f t="shared" si="1"/>
        <v>-2.693233328133779</v>
      </c>
      <c r="BA17" s="4">
        <f t="shared" si="1"/>
        <v>-0.52196666222232624</v>
      </c>
      <c r="BB17" s="4">
        <f t="shared" si="1"/>
        <v>-0.13035318860123932</v>
      </c>
      <c r="BC17" s="4">
        <f t="shared" si="1"/>
        <v>-3.9191703081215043E-2</v>
      </c>
      <c r="BD17" s="4">
        <f t="shared" si="1"/>
        <v>-1.3577550731993644E-2</v>
      </c>
      <c r="BE17" s="4">
        <f t="shared" si="1"/>
        <v>-5.2602213440112872E-3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C18*'Input&amp;Output'!$D$30*(1+'Input&amp;Output'!$G$30/100)^$A18</f>
        <v>112.16749499425603</v>
      </c>
      <c r="G18" s="4">
        <f>D18*'Input&amp;Output'!$D$31*(1+'Input&amp;Output'!$G$31/100)^'Cash Flow'!$A18</f>
        <v>10.351846554726706</v>
      </c>
      <c r="I18" s="4">
        <f t="shared" si="2"/>
        <v>122.51934154898274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T18" s="4">
        <f t="shared" si="3"/>
        <v>84.086720169074482</v>
      </c>
      <c r="W18" s="4">
        <f t="shared" si="4"/>
        <v>122.51934154898274</v>
      </c>
      <c r="AG18" s="4">
        <f>IF(A18&lt;='Input&amp;Output'!$D$38,$K$8/'Input&amp;Output'!$D$38,0)</f>
        <v>21.9</v>
      </c>
      <c r="AH18" s="4">
        <f t="shared" si="5"/>
        <v>84.086720169074482</v>
      </c>
      <c r="AI18" s="4">
        <f t="shared" si="6"/>
        <v>122.51934154898274</v>
      </c>
      <c r="AJ18" s="4">
        <f t="shared" si="7"/>
        <v>1429.5470880590906</v>
      </c>
      <c r="AK18" s="4">
        <f t="shared" si="8"/>
        <v>122.51934154898274</v>
      </c>
      <c r="AL18" s="4">
        <f>IF(AK18&lt;0,0,AK18*'Input&amp;Output'!$D$32/100)</f>
        <v>49.007736619593096</v>
      </c>
      <c r="AM18" s="8"/>
      <c r="AN18" s="5"/>
      <c r="AO18" s="4">
        <f t="shared" si="9"/>
        <v>122.51934154898274</v>
      </c>
      <c r="AQ18" s="4">
        <f t="shared" si="10"/>
        <v>84.086720169074482</v>
      </c>
      <c r="AR18" s="4">
        <f t="shared" si="11"/>
        <v>49.007736619593096</v>
      </c>
      <c r="AS18" s="4">
        <f t="shared" si="12"/>
        <v>-10.575115239684841</v>
      </c>
      <c r="AU18" s="4">
        <f>AS18/(1+'Input&amp;Output'!$D$33/100)^AM18</f>
        <v>-10.575115239684841</v>
      </c>
      <c r="AW18" s="4">
        <f t="shared" si="13"/>
        <v>2.8084681961535622</v>
      </c>
      <c r="AX18" s="4">
        <f t="shared" si="0"/>
        <v>0</v>
      </c>
      <c r="AZ18" s="4">
        <f t="shared" si="1"/>
        <v>-10.575115239684841</v>
      </c>
      <c r="BA18" s="4">
        <f t="shared" si="1"/>
        <v>-1.7079401509125911</v>
      </c>
      <c r="BB18" s="4">
        <f t="shared" si="1"/>
        <v>-0.36559879185219285</v>
      </c>
      <c r="BC18" s="4">
        <f t="shared" si="1"/>
        <v>-9.6180112811315027E-2</v>
      </c>
      <c r="BD18" s="4">
        <f t="shared" si="1"/>
        <v>-2.9618295221502351E-2</v>
      </c>
      <c r="BE18" s="4">
        <f t="shared" si="1"/>
        <v>-1.0327260976254728E-2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C19*'Input&amp;Output'!$D$30*(1+'Input&amp;Output'!$G$30/100)^$A19</f>
        <v>108.69030264943407</v>
      </c>
      <c r="G19" s="4">
        <f>D19*'Input&amp;Output'!$D$31*(1+'Input&amp;Output'!$G$31/100)^'Cash Flow'!$A19</f>
        <v>9.8342542269903692</v>
      </c>
      <c r="I19" s="4">
        <f t="shared" si="2"/>
        <v>118.52455687642444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T19" s="4">
        <f t="shared" si="3"/>
        <v>89.871113839195871</v>
      </c>
      <c r="W19" s="4">
        <f t="shared" si="4"/>
        <v>118.52455687642444</v>
      </c>
      <c r="AG19" s="4">
        <f>IF(A19&lt;='Input&amp;Output'!$D$38,$K$8/'Input&amp;Output'!$D$38,0)</f>
        <v>0</v>
      </c>
      <c r="AH19" s="4">
        <f t="shared" si="5"/>
        <v>89.871113839195871</v>
      </c>
      <c r="AI19" s="4">
        <f t="shared" si="6"/>
        <v>118.52455687642444</v>
      </c>
      <c r="AJ19" s="4">
        <f t="shared" si="7"/>
        <v>1548.071644935515</v>
      </c>
      <c r="AK19" s="4">
        <f t="shared" si="8"/>
        <v>118.52455687642444</v>
      </c>
      <c r="AL19" s="4">
        <f>IF(AK19&lt;0,0,AK19*'Input&amp;Output'!$D$32/100)</f>
        <v>47.409822750569774</v>
      </c>
      <c r="AM19" s="8"/>
      <c r="AN19" s="5"/>
      <c r="AO19" s="4">
        <f t="shared" si="9"/>
        <v>118.52455687642444</v>
      </c>
      <c r="AQ19" s="4">
        <f t="shared" si="10"/>
        <v>89.871113839195871</v>
      </c>
      <c r="AR19" s="4">
        <f t="shared" si="11"/>
        <v>47.409822750569774</v>
      </c>
      <c r="AS19" s="4">
        <f t="shared" si="12"/>
        <v>-18.756379713341204</v>
      </c>
      <c r="AU19" s="4">
        <f>AS19/(1+'Input&amp;Output'!$D$33/100)^AM19</f>
        <v>-18.756379713341204</v>
      </c>
      <c r="AW19" s="4">
        <f t="shared" si="13"/>
        <v>-15.947911517187642</v>
      </c>
      <c r="AX19" s="4">
        <f t="shared" si="0"/>
        <v>0</v>
      </c>
      <c r="AZ19" s="4">
        <f t="shared" si="1"/>
        <v>-18.756379713341204</v>
      </c>
      <c r="BA19" s="4">
        <f t="shared" si="1"/>
        <v>-2.5243833654220409</v>
      </c>
      <c r="BB19" s="4">
        <f t="shared" si="1"/>
        <v>-0.46317021525788832</v>
      </c>
      <c r="BC19" s="4">
        <f t="shared" si="1"/>
        <v>-0.10661767483578151</v>
      </c>
      <c r="BD19" s="4">
        <f t="shared" si="1"/>
        <v>-2.9184446433664336E-2</v>
      </c>
      <c r="BE19" s="4">
        <f t="shared" si="1"/>
        <v>-9.1583885319048847E-3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C20*'Input&amp;Output'!$D$30*(1+'Input&amp;Output'!$G$30/100)^$A20</f>
        <v>105.32090326730163</v>
      </c>
      <c r="G20" s="4">
        <f>D20*'Input&amp;Output'!$D$31*(1+'Input&amp;Output'!$G$31/100)^'Cash Flow'!$A20</f>
        <v>9.3425415156408498</v>
      </c>
      <c r="I20" s="4">
        <f t="shared" si="2"/>
        <v>114.66344478294248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T20" s="4">
        <f t="shared" si="3"/>
        <v>96.065739134419545</v>
      </c>
      <c r="W20" s="4">
        <f t="shared" si="4"/>
        <v>114.66344478294248</v>
      </c>
      <c r="AG20" s="4">
        <f>IF(A20&lt;='Input&amp;Output'!$D$38,$K$8/'Input&amp;Output'!$D$38,0)</f>
        <v>0</v>
      </c>
      <c r="AH20" s="4">
        <f t="shared" si="5"/>
        <v>96.065739134419545</v>
      </c>
      <c r="AI20" s="4">
        <f t="shared" si="6"/>
        <v>114.66344478294248</v>
      </c>
      <c r="AJ20" s="4">
        <f t="shared" si="7"/>
        <v>1662.7350897184574</v>
      </c>
      <c r="AK20" s="4">
        <f t="shared" si="8"/>
        <v>114.66344478294248</v>
      </c>
      <c r="AL20" s="4">
        <f>IF(AK20&lt;0,0,AK20*'Input&amp;Output'!$D$32/100)</f>
        <v>45.865377913176992</v>
      </c>
      <c r="AM20" s="8"/>
      <c r="AN20" s="5"/>
      <c r="AO20" s="4">
        <f t="shared" si="9"/>
        <v>114.66344478294248</v>
      </c>
      <c r="AQ20" s="4">
        <f t="shared" si="10"/>
        <v>96.065739134419545</v>
      </c>
      <c r="AR20" s="4">
        <f t="shared" si="11"/>
        <v>45.865377913176992</v>
      </c>
      <c r="AS20" s="4">
        <f t="shared" si="12"/>
        <v>-27.26767226465406</v>
      </c>
      <c r="AU20" s="4">
        <f>AS20/(1+'Input&amp;Output'!$D$33/100)^AM20</f>
        <v>-27.26767226465406</v>
      </c>
      <c r="AW20" s="4">
        <f t="shared" si="13"/>
        <v>-43.215583781841701</v>
      </c>
      <c r="AX20" s="4">
        <f t="shared" si="0"/>
        <v>0</v>
      </c>
      <c r="AZ20" s="4">
        <f t="shared" si="1"/>
        <v>-27.26767226465406</v>
      </c>
      <c r="BA20" s="4">
        <f t="shared" si="1"/>
        <v>-3.0582509049668296</v>
      </c>
      <c r="BB20" s="4">
        <f t="shared" si="1"/>
        <v>-0.48096296625554097</v>
      </c>
      <c r="BC20" s="4">
        <f t="shared" si="1"/>
        <v>-9.6874232243685382E-2</v>
      </c>
      <c r="BD20" s="4">
        <f t="shared" si="1"/>
        <v>-2.3570999803824176E-2</v>
      </c>
      <c r="BE20" s="4">
        <f t="shared" si="1"/>
        <v>-6.6571465489878075E-3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C21*'Input&amp;Output'!$D$30*(1+'Input&amp;Output'!$G$30/100)^$A21</f>
        <v>102.05595526601529</v>
      </c>
      <c r="G21" s="4">
        <f>D21*'Input&amp;Output'!$D$31*(1+'Input&amp;Output'!$G$31/100)^'Cash Flow'!$A21</f>
        <v>8.8754144398588082</v>
      </c>
      <c r="I21" s="4">
        <f t="shared" si="2"/>
        <v>110.93136970587409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T21" s="4">
        <f t="shared" si="3"/>
        <v>102.70042290464741</v>
      </c>
      <c r="W21" s="4">
        <f t="shared" si="4"/>
        <v>110.93136970587409</v>
      </c>
      <c r="AG21" s="4">
        <f>IF(A21&lt;='Input&amp;Output'!$D$38,$K$8/'Input&amp;Output'!$D$38,0)</f>
        <v>0</v>
      </c>
      <c r="AH21" s="4">
        <f t="shared" si="5"/>
        <v>102.70042290464741</v>
      </c>
      <c r="AI21" s="4">
        <f t="shared" si="6"/>
        <v>110.93136970587409</v>
      </c>
      <c r="AJ21" s="4">
        <f t="shared" si="7"/>
        <v>1773.6664594243316</v>
      </c>
      <c r="AK21" s="4">
        <f t="shared" si="8"/>
        <v>110.93136970587409</v>
      </c>
      <c r="AL21" s="4">
        <f>IF(AK21&lt;0,0,AK21*'Input&amp;Output'!$D$32/100)</f>
        <v>44.372547882349636</v>
      </c>
      <c r="AM21" s="8"/>
      <c r="AN21" s="5"/>
      <c r="AO21" s="4">
        <f t="shared" si="9"/>
        <v>110.93136970587409</v>
      </c>
      <c r="AQ21" s="4">
        <f t="shared" si="10"/>
        <v>102.70042290464741</v>
      </c>
      <c r="AR21" s="4">
        <f t="shared" si="11"/>
        <v>44.372547882349636</v>
      </c>
      <c r="AS21" s="4">
        <f t="shared" si="12"/>
        <v>-36.141601081122957</v>
      </c>
      <c r="AU21" s="4">
        <f>AS21/(1+'Input&amp;Output'!$D$33/100)^AM21</f>
        <v>-36.141601081122957</v>
      </c>
      <c r="AW21" s="4">
        <f t="shared" si="13"/>
        <v>-79.357184862964658</v>
      </c>
      <c r="AX21" s="4">
        <f t="shared" si="0"/>
        <v>0</v>
      </c>
      <c r="AZ21" s="4">
        <f t="shared" si="1"/>
        <v>-36.141601081122957</v>
      </c>
      <c r="BA21" s="4">
        <f t="shared" si="1"/>
        <v>-3.3779342298489827</v>
      </c>
      <c r="BB21" s="4">
        <f t="shared" si="1"/>
        <v>-0.45534746610481208</v>
      </c>
      <c r="BC21" s="4">
        <f t="shared" si="1"/>
        <v>-8.0250475334160201E-2</v>
      </c>
      <c r="BD21" s="4">
        <f t="shared" si="1"/>
        <v>-1.7356606666856619E-2</v>
      </c>
      <c r="BE21" s="4">
        <f t="shared" si="1"/>
        <v>-4.4118165382230172E-3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C22*'Input&amp;Output'!$D$30*(1+'Input&amp;Output'!$G$30/100)^$A22</f>
        <v>98.892220652768799</v>
      </c>
      <c r="G22" s="4">
        <f>D22*'Input&amp;Output'!$D$31*(1+'Input&amp;Output'!$G$31/100)^'Cash Flow'!$A22</f>
        <v>8.4316437178658674</v>
      </c>
      <c r="I22" s="4">
        <f t="shared" si="2"/>
        <v>107.32386437063467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T22" s="4">
        <f t="shared" si="3"/>
        <v>109.80721821883162</v>
      </c>
      <c r="W22" s="4">
        <f t="shared" si="4"/>
        <v>107.32386437063467</v>
      </c>
      <c r="AG22" s="4">
        <f>IF(A22&lt;='Input&amp;Output'!$D$38,$K$8/'Input&amp;Output'!$D$38,0)</f>
        <v>0</v>
      </c>
      <c r="AH22" s="4">
        <f t="shared" si="5"/>
        <v>109.80721821883162</v>
      </c>
      <c r="AI22" s="4">
        <f t="shared" si="6"/>
        <v>107.32386437063467</v>
      </c>
      <c r="AJ22" s="4">
        <f t="shared" si="7"/>
        <v>1880.9903237949663</v>
      </c>
      <c r="AK22" s="4">
        <f t="shared" si="8"/>
        <v>107.32386437063467</v>
      </c>
      <c r="AL22" s="4">
        <f>IF(AK22&lt;0,0,AK22*'Input&amp;Output'!$D$32/100)</f>
        <v>42.929545748253865</v>
      </c>
      <c r="AM22" s="8"/>
      <c r="AN22" s="5"/>
      <c r="AO22" s="4">
        <f t="shared" si="9"/>
        <v>107.32386437063467</v>
      </c>
      <c r="AQ22" s="4">
        <f t="shared" si="10"/>
        <v>109.80721821883162</v>
      </c>
      <c r="AR22" s="4">
        <f t="shared" si="11"/>
        <v>42.929545748253865</v>
      </c>
      <c r="AS22" s="4">
        <f t="shared" si="12"/>
        <v>-45.412899596450821</v>
      </c>
      <c r="AU22" s="4">
        <f>AS22/(1+'Input&amp;Output'!$D$33/100)^AM22</f>
        <v>-45.412899596450821</v>
      </c>
      <c r="AW22" s="4">
        <f t="shared" si="13"/>
        <v>-124.77008445941547</v>
      </c>
      <c r="AX22" s="4">
        <f t="shared" si="0"/>
        <v>0</v>
      </c>
      <c r="AZ22" s="4">
        <f t="shared" si="1"/>
        <v>-45.412899596450821</v>
      </c>
      <c r="BA22" s="4">
        <f t="shared" si="1"/>
        <v>-3.5370547936163348</v>
      </c>
      <c r="BB22" s="4">
        <f t="shared" si="1"/>
        <v>-0.40868315066185495</v>
      </c>
      <c r="BC22" s="4">
        <f t="shared" si="1"/>
        <v>-6.3023058433712642E-2</v>
      </c>
      <c r="BD22" s="4">
        <f t="shared" si="1"/>
        <v>-1.2116136596036891E-2</v>
      </c>
      <c r="BE22" s="4">
        <f t="shared" si="1"/>
        <v>-2.7717834226349378E-3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C23*'Input&amp;Output'!$D$30*(1+'Input&amp;Output'!$G$30/100)^$A23</f>
        <v>95.826561812532944</v>
      </c>
      <c r="G23" s="4">
        <f>D23*'Input&amp;Output'!$D$31*(1+'Input&amp;Output'!$G$31/100)^'Cash Flow'!$A23</f>
        <v>8.010061531972573</v>
      </c>
      <c r="I23" s="4">
        <f t="shared" si="2"/>
        <v>103.83662334450551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T23" s="4">
        <f t="shared" si="3"/>
        <v>117.42057545990087</v>
      </c>
      <c r="W23" s="4">
        <f t="shared" si="4"/>
        <v>103.83662334450551</v>
      </c>
      <c r="AG23" s="4">
        <f>IF(A23&lt;='Input&amp;Output'!$D$38,$K$8/'Input&amp;Output'!$D$38,0)</f>
        <v>0</v>
      </c>
      <c r="AH23" s="4">
        <f t="shared" si="5"/>
        <v>117.42057545990087</v>
      </c>
      <c r="AI23" s="4">
        <f t="shared" si="6"/>
        <v>103.83662334450551</v>
      </c>
      <c r="AJ23" s="4">
        <f t="shared" si="7"/>
        <v>1984.8269471394719</v>
      </c>
      <c r="AK23" s="4">
        <f t="shared" si="8"/>
        <v>103.83662334450551</v>
      </c>
      <c r="AL23" s="4">
        <f>IF(AK23&lt;0,0,AK23*'Input&amp;Output'!$D$32/100)</f>
        <v>41.5346493378022</v>
      </c>
      <c r="AM23" s="8"/>
      <c r="AN23" s="5"/>
      <c r="AO23" s="4">
        <f t="shared" si="9"/>
        <v>103.83662334450551</v>
      </c>
      <c r="AQ23" s="4">
        <f t="shared" si="10"/>
        <v>117.42057545990087</v>
      </c>
      <c r="AR23" s="4">
        <f t="shared" si="11"/>
        <v>41.5346493378022</v>
      </c>
      <c r="AS23" s="4">
        <f t="shared" si="12"/>
        <v>-55.118601453197563</v>
      </c>
      <c r="AU23" s="4">
        <f>AS23/(1+'Input&amp;Output'!$D$33/100)^AM23</f>
        <v>-55.118601453197563</v>
      </c>
      <c r="AW23" s="4">
        <f t="shared" si="13"/>
        <v>-179.88868591261303</v>
      </c>
      <c r="AX23" s="4">
        <f t="shared" si="0"/>
        <v>0</v>
      </c>
      <c r="AZ23" s="4">
        <f t="shared" si="1"/>
        <v>-55.118601453197563</v>
      </c>
      <c r="BA23" s="4">
        <f t="shared" si="1"/>
        <v>-3.5774988167807082</v>
      </c>
      <c r="BB23" s="4">
        <f t="shared" si="1"/>
        <v>-0.3543053044106621</v>
      </c>
      <c r="BC23" s="4">
        <f t="shared" si="1"/>
        <v>-4.7807765951935505E-2</v>
      </c>
      <c r="BD23" s="4">
        <f t="shared" si="1"/>
        <v>-8.1697847249459585E-3</v>
      </c>
      <c r="BE23" s="4">
        <f t="shared" si="1"/>
        <v>-1.6820862259886952E-3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C24*'Input&amp;Output'!$D$30*(1+'Input&amp;Output'!$G$30/100)^$A24</f>
        <v>92.855938396344442</v>
      </c>
      <c r="G24" s="4">
        <f>D24*'Input&amp;Output'!$D$31*(1+'Input&amp;Output'!$G$31/100)^'Cash Flow'!$A24</f>
        <v>7.6095584553739446</v>
      </c>
      <c r="I24" s="4">
        <f t="shared" si="2"/>
        <v>100.46549685171838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T24" s="4">
        <f t="shared" si="3"/>
        <v>125.57752700005267</v>
      </c>
      <c r="W24" s="4">
        <f t="shared" si="4"/>
        <v>100.46549685171838</v>
      </c>
      <c r="AG24" s="4">
        <f>IF(A24&lt;='Input&amp;Output'!$D$38,$K$8/'Input&amp;Output'!$D$38,0)</f>
        <v>0</v>
      </c>
      <c r="AH24" s="4">
        <f t="shared" si="5"/>
        <v>125.57752700005267</v>
      </c>
      <c r="AI24" s="4">
        <f t="shared" si="6"/>
        <v>100.46549685171838</v>
      </c>
      <c r="AJ24" s="4">
        <f t="shared" si="7"/>
        <v>2085.2924439911903</v>
      </c>
      <c r="AK24" s="4">
        <f t="shared" si="8"/>
        <v>100.46549685171838</v>
      </c>
      <c r="AL24" s="4">
        <f>IF(AK24&lt;0,0,AK24*'Input&amp;Output'!$D$32/100)</f>
        <v>40.186198740687352</v>
      </c>
      <c r="AM24" s="8"/>
      <c r="AN24" s="5"/>
      <c r="AO24" s="4">
        <f t="shared" si="9"/>
        <v>100.46549685171838</v>
      </c>
      <c r="AQ24" s="4">
        <f t="shared" si="10"/>
        <v>125.57752700005267</v>
      </c>
      <c r="AR24" s="4">
        <f t="shared" si="11"/>
        <v>40.186198740687352</v>
      </c>
      <c r="AS24" s="4">
        <f t="shared" si="12"/>
        <v>-65.29822888902163</v>
      </c>
      <c r="AU24" s="4">
        <f>AS24/(1+'Input&amp;Output'!$D$33/100)^AM24</f>
        <v>-65.29822888902163</v>
      </c>
      <c r="AW24" s="4">
        <f t="shared" si="13"/>
        <v>-245.18691480163466</v>
      </c>
      <c r="AX24" s="4">
        <f t="shared" si="0"/>
        <v>0</v>
      </c>
      <c r="AZ24" s="4">
        <f t="shared" si="1"/>
        <v>-65.29822888902163</v>
      </c>
      <c r="BA24" s="4">
        <f t="shared" si="1"/>
        <v>-3.531843612824451</v>
      </c>
      <c r="BB24" s="4">
        <f t="shared" si="1"/>
        <v>-0.29981463677591902</v>
      </c>
      <c r="BC24" s="4">
        <f t="shared" si="1"/>
        <v>-3.5398240810466428E-2</v>
      </c>
      <c r="BD24" s="4">
        <f t="shared" si="1"/>
        <v>-5.377015894196981E-3</v>
      </c>
      <c r="BE24" s="4">
        <f t="shared" si="1"/>
        <v>-9.9637190077242477E-4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C25*'Input&amp;Output'!$D$30*(1+'Input&amp;Output'!$G$30/100)^$A25</f>
        <v>89.977404306057764</v>
      </c>
      <c r="G25" s="4">
        <f>D25*'Input&amp;Output'!$D$31*(1+'Input&amp;Output'!$G$31/100)^'Cash Flow'!$A25</f>
        <v>7.2290805326052467</v>
      </c>
      <c r="I25" s="4">
        <f t="shared" si="2"/>
        <v>97.206484838663016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T25" s="4">
        <f t="shared" si="3"/>
        <v>134.31788657173794</v>
      </c>
      <c r="W25" s="4">
        <f t="shared" si="4"/>
        <v>97.206484838663016</v>
      </c>
      <c r="AG25" s="4">
        <f>IF(A25&lt;='Input&amp;Output'!$D$38,$K$8/'Input&amp;Output'!$D$38,0)</f>
        <v>0</v>
      </c>
      <c r="AH25" s="4">
        <f t="shared" si="5"/>
        <v>134.31788657173794</v>
      </c>
      <c r="AI25" s="4">
        <f t="shared" si="6"/>
        <v>97.206484838663016</v>
      </c>
      <c r="AJ25" s="4">
        <f t="shared" si="7"/>
        <v>2182.4989288298534</v>
      </c>
      <c r="AK25" s="4">
        <f t="shared" si="8"/>
        <v>97.206484838663016</v>
      </c>
      <c r="AL25" s="4">
        <f>IF(AK25&lt;0,0,AK25*'Input&amp;Output'!$D$32/100)</f>
        <v>38.882593935465209</v>
      </c>
      <c r="AM25" s="8"/>
      <c r="AN25" s="5"/>
      <c r="AO25" s="4">
        <f t="shared" si="9"/>
        <v>97.206484838663016</v>
      </c>
      <c r="AQ25" s="4">
        <f t="shared" si="10"/>
        <v>134.31788657173794</v>
      </c>
      <c r="AR25" s="4">
        <f t="shared" si="11"/>
        <v>38.882593935465209</v>
      </c>
      <c r="AS25" s="4">
        <f t="shared" si="12"/>
        <v>-75.993995668540137</v>
      </c>
      <c r="AU25" s="4">
        <f>AS25/(1+'Input&amp;Output'!$D$33/100)^AM25</f>
        <v>-75.993995668540137</v>
      </c>
      <c r="AW25" s="4">
        <f t="shared" si="13"/>
        <v>-321.18091047017481</v>
      </c>
      <c r="AX25" s="4">
        <f t="shared" si="0"/>
        <v>0</v>
      </c>
      <c r="AZ25" s="4">
        <f t="shared" si="1"/>
        <v>-75.993995668540137</v>
      </c>
      <c r="BA25" s="4">
        <f t="shared" si="1"/>
        <v>-3.4252959176874329</v>
      </c>
      <c r="BB25" s="4">
        <f t="shared" si="1"/>
        <v>-0.24923135190823731</v>
      </c>
      <c r="BC25" s="4">
        <f t="shared" si="1"/>
        <v>-2.574776724990159E-2</v>
      </c>
      <c r="BD25" s="4">
        <f t="shared" si="1"/>
        <v>-3.476535696513924E-3</v>
      </c>
      <c r="BE25" s="4">
        <f t="shared" si="1"/>
        <v>-5.7978817496139631E-4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C26*'Input&amp;Output'!$D$30*(1+'Input&amp;Output'!$G$30/100)^$A26</f>
        <v>87.188104772569957</v>
      </c>
      <c r="G26" s="4">
        <f>D26*'Input&amp;Output'!$D$31*(1+'Input&amp;Output'!$G$31/100)^'Cash Flow'!$A26</f>
        <v>6.8676265059749841</v>
      </c>
      <c r="I26" s="4">
        <f t="shared" si="2"/>
        <v>94.05573127854494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T26" s="4">
        <f t="shared" si="3"/>
        <v>143.68446454444995</v>
      </c>
      <c r="W26" s="4">
        <f t="shared" si="4"/>
        <v>94.05573127854494</v>
      </c>
      <c r="AG26" s="4">
        <f>IF(A26&lt;='Input&amp;Output'!$D$38,$K$8/'Input&amp;Output'!$D$38,0)</f>
        <v>0</v>
      </c>
      <c r="AH26" s="4">
        <f t="shared" si="5"/>
        <v>143.68446454444995</v>
      </c>
      <c r="AI26" s="4">
        <f t="shared" si="6"/>
        <v>94.05573127854494</v>
      </c>
      <c r="AJ26" s="4">
        <f t="shared" si="7"/>
        <v>2276.5546601083984</v>
      </c>
      <c r="AK26" s="4">
        <f t="shared" si="8"/>
        <v>94.05573127854494</v>
      </c>
      <c r="AL26" s="4">
        <f>IF(AK26&lt;0,0,AK26*'Input&amp;Output'!$D$32/100)</f>
        <v>37.622292511417974</v>
      </c>
      <c r="AM26" s="8"/>
      <c r="AN26" s="5"/>
      <c r="AO26" s="4">
        <f t="shared" si="9"/>
        <v>94.05573127854494</v>
      </c>
      <c r="AQ26" s="4">
        <f t="shared" si="10"/>
        <v>143.68446454444995</v>
      </c>
      <c r="AR26" s="4">
        <f t="shared" si="11"/>
        <v>37.622292511417974</v>
      </c>
      <c r="AS26" s="4">
        <f t="shared" si="12"/>
        <v>-87.25102577732298</v>
      </c>
      <c r="AU26" s="4">
        <f>AS26/(1+'Input&amp;Output'!$D$33/100)^AM26</f>
        <v>-87.25102577732298</v>
      </c>
      <c r="AW26" s="4">
        <f t="shared" si="13"/>
        <v>-408.43193624749779</v>
      </c>
      <c r="AX26" s="4">
        <f t="shared" si="0"/>
        <v>0</v>
      </c>
      <c r="AZ26" s="4">
        <f t="shared" si="1"/>
        <v>-87.25102577732298</v>
      </c>
      <c r="BA26" s="4">
        <f t="shared" si="1"/>
        <v>-3.277238986448276</v>
      </c>
      <c r="BB26" s="4">
        <f t="shared" si="1"/>
        <v>-0.2043929440793299</v>
      </c>
      <c r="BC26" s="4">
        <f t="shared" si="1"/>
        <v>-1.847612337878167E-2</v>
      </c>
      <c r="BD26" s="4">
        <f t="shared" si="1"/>
        <v>-2.2175092986976637E-3</v>
      </c>
      <c r="BE26" s="4">
        <f t="shared" si="1"/>
        <v>-3.3283624945573036E-4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C27*'Input&amp;Output'!$D$30*(1+'Input&amp;Output'!$G$30/100)^$A27</f>
        <v>84.485273524620283</v>
      </c>
      <c r="G27" s="4">
        <f>D27*'Input&amp;Output'!$D$31*(1+'Input&amp;Output'!$G$31/100)^'Cash Flow'!$A27</f>
        <v>6.5242451806762345</v>
      </c>
      <c r="I27" s="4">
        <f t="shared" si="2"/>
        <v>91.009518705296514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T27" s="4">
        <f t="shared" si="3"/>
        <v>153.72330042053716</v>
      </c>
      <c r="W27" s="4">
        <f t="shared" si="4"/>
        <v>91.009518705296514</v>
      </c>
      <c r="AG27" s="4">
        <f>IF(A27&lt;='Input&amp;Output'!$D$38,$K$8/'Input&amp;Output'!$D$38,0)</f>
        <v>0</v>
      </c>
      <c r="AH27" s="4">
        <f t="shared" si="5"/>
        <v>153.72330042053716</v>
      </c>
      <c r="AI27" s="4">
        <f t="shared" si="6"/>
        <v>91.009518705296514</v>
      </c>
      <c r="AJ27" s="4">
        <f t="shared" si="7"/>
        <v>2367.564178813695</v>
      </c>
      <c r="AK27" s="4">
        <f t="shared" si="8"/>
        <v>91.009518705296514</v>
      </c>
      <c r="AL27" s="4">
        <f>IF(AK27&lt;0,0,AK27*'Input&amp;Output'!$D$32/100)</f>
        <v>36.403807482118602</v>
      </c>
      <c r="AM27" s="8"/>
      <c r="AN27" s="5"/>
      <c r="AO27" s="4">
        <f t="shared" si="9"/>
        <v>91.009518705296514</v>
      </c>
      <c r="AQ27" s="4">
        <f t="shared" si="10"/>
        <v>153.72330042053716</v>
      </c>
      <c r="AR27" s="4">
        <f t="shared" si="11"/>
        <v>36.403807482118602</v>
      </c>
      <c r="AS27" s="4">
        <f t="shared" si="12"/>
        <v>-99.117589197359251</v>
      </c>
      <c r="AU27" s="4">
        <f>AS27/(1+'Input&amp;Output'!$D$33/100)^AM27</f>
        <v>-99.117589197359251</v>
      </c>
      <c r="AW27" s="4">
        <f t="shared" si="13"/>
        <v>-507.54952544485707</v>
      </c>
      <c r="AX27" s="4">
        <f t="shared" si="0"/>
        <v>0</v>
      </c>
      <c r="AZ27" s="4">
        <f t="shared" si="1"/>
        <v>-99.117589197359251</v>
      </c>
      <c r="BA27" s="4">
        <f t="shared" si="1"/>
        <v>-3.1024661760555086</v>
      </c>
      <c r="BB27" s="4">
        <f t="shared" si="1"/>
        <v>-0.16585098394960443</v>
      </c>
      <c r="BC27" s="4">
        <f t="shared" si="1"/>
        <v>-1.3118103703528132E-2</v>
      </c>
      <c r="BD27" s="4">
        <f t="shared" si="1"/>
        <v>-1.3995007429010709E-3</v>
      </c>
      <c r="BE27" s="4">
        <f t="shared" si="1"/>
        <v>-1.8905179824325419E-4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C28*'Input&amp;Output'!$D$30*(1+'Input&amp;Output'!$G$30/100)^$A28</f>
        <v>81.866230045357071</v>
      </c>
      <c r="G28" s="11">
        <f>D28*'Input&amp;Output'!$D$31*(1+'Input&amp;Output'!$G$31/100)^'Cash Flow'!$A28</f>
        <v>6.1980329216424241</v>
      </c>
      <c r="H28" s="11">
        <f>F28+G28</f>
        <v>88.064262966999493</v>
      </c>
      <c r="I28" s="4">
        <f t="shared" si="2"/>
        <v>88.064262966999493</v>
      </c>
      <c r="M28" s="11">
        <f>'Input&amp;Output'!$D$20*(1+'Input&amp;Output'!$G$20/100)^'Cash Flow'!$A28</f>
        <v>1.4859473959783542</v>
      </c>
      <c r="N28" s="11">
        <f>'Input&amp;Output'!$D$21*(1+'Input&amp;Output'!$G$21/100)^'Cash Flow'!$A28</f>
        <v>7.9598931154332622</v>
      </c>
      <c r="O28" s="11">
        <f>'Input&amp;Output'!$D$22*(1+'Input&amp;Output'!$G$22/100)^'Cash Flow'!$A28</f>
        <v>16.035677361064241</v>
      </c>
      <c r="P28" s="11">
        <f>'Input&amp;Output'!$D$23*12*'Input&amp;Output'!$D$27*(1+'Input&amp;Output'!$G$23/100)^'Cash Flow'!$A28/1000000</f>
        <v>0.43926841438126812</v>
      </c>
      <c r="Q28" s="11">
        <f>'Input&amp;Output'!$D$24*365*'Input&amp;Output'!$D$27*(1+'Input&amp;Output'!$G$24/100)^'Cash Flow'!$A28/1000000</f>
        <v>14.733224889023084</v>
      </c>
      <c r="R28" s="11">
        <f>'Input&amp;Output'!$D$25*(1+'Input&amp;Output'!$G$25/100)^'Cash Flow'!$A28</f>
        <v>7.739368924972359</v>
      </c>
      <c r="S28" s="11">
        <f>'Input&amp;Output'!$D$26*'Input&amp;Output'!$D$10*(1+'Input&amp;Output'!$G$26/100)^'Cash Flow'!$A28</f>
        <v>116.09053387458539</v>
      </c>
      <c r="T28" s="4">
        <f t="shared" si="3"/>
        <v>164.48391397543796</v>
      </c>
      <c r="W28" s="4">
        <f t="shared" si="4"/>
        <v>88.064262966999493</v>
      </c>
      <c r="X28" s="11">
        <f>IF('Input&amp;Output'!$D$37=1,IF('Input&amp;Output'!$D$38&lt;'Cash Flow'!$A28,0,$K$8/'Input&amp;Output'!$D$38),0)</f>
        <v>0</v>
      </c>
      <c r="Y28" s="11">
        <f>Y27-Z27</f>
        <v>0</v>
      </c>
      <c r="Z28" s="11">
        <f>IF($A28&gt;'Input&amp;Output'!$E$38,IF('Cash Flow'!$A28='Input&amp;Output'!$E$38+1,'Cash Flow'!Y28,0),'Cash Flow'!Y28/'Input&amp;Output'!$E$38)</f>
        <v>0</v>
      </c>
      <c r="AA28" s="11">
        <f>IF('Input&amp;Output'!$F$37=1,IF($A28&gt;'Input&amp;Output'!$F$38,0,DB($K$8,'Input&amp;Output'!$F$39,'Input&amp;Output'!$F$38,$A28)),0)</f>
        <v>0</v>
      </c>
      <c r="AB28" s="11">
        <f>AB27-AC27</f>
        <v>0</v>
      </c>
      <c r="AC28" s="11">
        <f>IF($A28&gt;'Input&amp;Output'!$G$38,IF('Cash Flow'!$A28='Input&amp;Output'!$G$38+1,'Cash Flow'!AB28,0),'Cash Flow'!AB28*2/'Input&amp;Output'!$G$38)</f>
        <v>0</v>
      </c>
      <c r="AD28" s="11">
        <f>IF('Input&amp;Output'!$H$37=1,IF($A28&gt;'Input&amp;Output'!$H$38,0,DDB($K$8,'Input&amp;Output'!$H$39,'Input&amp;Output'!$H$38,$A28)),0)</f>
        <v>0</v>
      </c>
      <c r="AE28" s="11">
        <f>IF('Input&amp;Output'!$I$37=1,IF($A28&gt;'Input&amp;Output'!$I$38,0,SYD($K$8,'Input&amp;Output'!$I$39,'Input&amp;Output'!$I$38,$A28)),0)</f>
        <v>0</v>
      </c>
      <c r="AF28" s="11">
        <f>IF('Input&amp;Output'!$J$37=1,$K$8*'Cash Flow'!$C28/'Cash Flow'!$D$30,0)</f>
        <v>0</v>
      </c>
      <c r="AG28" s="4">
        <f>IF(A28&lt;='Input&amp;Output'!$D$38,$K$8/'Input&amp;Output'!$D$38,0)</f>
        <v>0</v>
      </c>
      <c r="AH28" s="4">
        <f t="shared" si="5"/>
        <v>164.48391397543796</v>
      </c>
      <c r="AI28" s="4">
        <f t="shared" si="6"/>
        <v>88.064262966999493</v>
      </c>
      <c r="AJ28" s="4">
        <f t="shared" si="7"/>
        <v>2455.6284417806946</v>
      </c>
      <c r="AK28" s="4">
        <f t="shared" si="8"/>
        <v>88.064262966999493</v>
      </c>
      <c r="AL28" s="4">
        <f>IF(AK28&lt;0,0,AK28*'Input&amp;Output'!$D$32/100)</f>
        <v>35.225705186799793</v>
      </c>
      <c r="AM28" s="18">
        <f>AM27+1</f>
        <v>1</v>
      </c>
      <c r="AN28" s="5"/>
      <c r="AO28" s="4">
        <f t="shared" si="9"/>
        <v>88.064262966999493</v>
      </c>
      <c r="AP28" s="11"/>
      <c r="AQ28" s="4">
        <f t="shared" si="10"/>
        <v>164.48391397543796</v>
      </c>
      <c r="AR28" s="4">
        <f t="shared" si="11"/>
        <v>35.225705186799793</v>
      </c>
      <c r="AS28" s="4">
        <f t="shared" si="12"/>
        <v>-111.64535619523826</v>
      </c>
      <c r="AU28" s="4">
        <f>AS28/(1+'Input&amp;Output'!$D$33/100)^AM28</f>
        <v>-101.49577835930751</v>
      </c>
      <c r="AV28" s="14"/>
      <c r="AW28" s="4">
        <f t="shared" si="13"/>
        <v>-619.19488164009533</v>
      </c>
      <c r="AX28" s="4">
        <f t="shared" si="0"/>
        <v>0</v>
      </c>
      <c r="AZ28" s="4">
        <f t="shared" si="1"/>
        <v>-111.64535619523826</v>
      </c>
      <c r="BA28" s="4">
        <f t="shared" si="1"/>
        <v>-2.9121634222064023</v>
      </c>
      <c r="BB28" s="4">
        <f t="shared" si="1"/>
        <v>-0.13343813089892498</v>
      </c>
      <c r="BC28" s="4">
        <f t="shared" si="1"/>
        <v>-9.2350874126277942E-3</v>
      </c>
      <c r="BD28" s="4">
        <f t="shared" si="1"/>
        <v>-8.7577100314195665E-4</v>
      </c>
      <c r="BE28" s="4">
        <f t="shared" si="1"/>
        <v>-1.0647330874942614E-4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2244.8910672919005</v>
      </c>
      <c r="G30" s="12">
        <f>SUM(G9:G29)</f>
        <v>210.73737448879388</v>
      </c>
      <c r="I30" s="12">
        <f>SUM(I9:I28)</f>
        <v>2455.6284417806946</v>
      </c>
      <c r="M30" s="12">
        <f t="shared" ref="M30:W30" si="14">SUM(M9:M29)</f>
        <v>24.783317194896075</v>
      </c>
      <c r="N30" s="12">
        <f t="shared" si="14"/>
        <v>104.15775542409848</v>
      </c>
      <c r="O30" s="12">
        <f t="shared" si="14"/>
        <v>194.9636333788014</v>
      </c>
      <c r="P30" s="12">
        <f t="shared" si="14"/>
        <v>8.0061098525080752</v>
      </c>
      <c r="Q30" s="12">
        <f t="shared" si="14"/>
        <v>137.97547377925386</v>
      </c>
      <c r="R30" s="12">
        <f t="shared" si="14"/>
        <v>87.730353567434619</v>
      </c>
      <c r="S30" s="12">
        <f t="shared" si="14"/>
        <v>1315.9553035115193</v>
      </c>
      <c r="T30" s="12">
        <f>SUM(T9:T28)</f>
        <v>1873.5719467085121</v>
      </c>
      <c r="W30" s="12">
        <f t="shared" si="14"/>
        <v>2455.6284417806946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2455.6284417806946</v>
      </c>
      <c r="AK30" s="12">
        <f>SUM(AK9:AK29)</f>
        <v>2455.6284417806946</v>
      </c>
      <c r="AL30" s="12">
        <f>SUM(AL9:AL29)</f>
        <v>982.25137671227776</v>
      </c>
      <c r="AM30" s="19" t="s">
        <v>82</v>
      </c>
      <c r="AO30" s="12">
        <f>SUM(AO8:AO29)</f>
        <v>2455.6284417806946</v>
      </c>
      <c r="AP30" s="12">
        <f>SUM(AP8:AP29)</f>
        <v>219</v>
      </c>
      <c r="AQ30" s="12">
        <f>SUM(AQ8:AQ29)</f>
        <v>1873.5719467085121</v>
      </c>
      <c r="AR30" s="12">
        <f>SUM(AR8:AR29)</f>
        <v>982.25137671227776</v>
      </c>
      <c r="AS30" s="12">
        <f>SUM(AS8:AS29)</f>
        <v>-619.19488164009533</v>
      </c>
      <c r="AU30" s="15">
        <f>SUM(AU8:AU29)</f>
        <v>-609.04530380416463</v>
      </c>
      <c r="AX30" s="16">
        <f>SUM(AX8:AX29)</f>
        <v>6.0917570130980261</v>
      </c>
      <c r="AZ30" s="12">
        <f t="shared" ref="AZ30:BE30" si="15">SUM(AZ8:AZ29)</f>
        <v>-619.19488164009533</v>
      </c>
      <c r="BA30" s="12">
        <f t="shared" si="15"/>
        <v>-116.71661760552641</v>
      </c>
      <c r="BB30" s="12">
        <f t="shared" si="15"/>
        <v>-129.28160898657674</v>
      </c>
      <c r="BC30" s="12">
        <f t="shared" si="15"/>
        <v>-149.55260069641082</v>
      </c>
      <c r="BD30" s="12">
        <f t="shared" si="15"/>
        <v>-163.35665172467253</v>
      </c>
      <c r="BE30" s="12">
        <f t="shared" si="15"/>
        <v>-172.80482631238127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-609.04530380416463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 t="e">
        <f>IRR(AS8:AS28)</f>
        <v>#NUM!</v>
      </c>
    </row>
    <row r="34" spans="45:48" ht="12" customHeight="1" thickBot="1" x14ac:dyDescent="0.25">
      <c r="AS34" s="75" t="s">
        <v>136</v>
      </c>
      <c r="AT34" s="76"/>
      <c r="AU34" s="77">
        <f>AX30</f>
        <v>6.0917570130980261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-2.7810287844939023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1EFD-2F2C-4625-ACC0-D4551D17B0C5}">
  <dimension ref="A1:BM35"/>
  <sheetViews>
    <sheetView topLeftCell="AG1" workbookViewId="0">
      <selection activeCell="BE8" sqref="BE8:BE28"/>
    </sheetView>
  </sheetViews>
  <sheetFormatPr defaultColWidth="5.6640625" defaultRowHeight="12" customHeight="1" x14ac:dyDescent="0.2"/>
  <cols>
    <col min="1" max="1" width="5.6640625" style="8" customWidth="1"/>
    <col min="2" max="2" width="2.6640625" style="5" customWidth="1"/>
    <col min="3" max="4" width="5.6640625" style="4" customWidth="1"/>
    <col min="5" max="5" width="2.6640625" style="4" customWidth="1"/>
    <col min="6" max="7" width="5.6640625" style="4" customWidth="1"/>
    <col min="8" max="8" width="5.6640625" style="4" hidden="1" customWidth="1"/>
    <col min="9" max="9" width="5.6640625" style="4" customWidth="1"/>
    <col min="10" max="10" width="2.6640625" style="4" customWidth="1"/>
    <col min="11" max="11" width="5.6640625" style="4" customWidth="1"/>
    <col min="12" max="12" width="2.6640625" style="4" customWidth="1"/>
    <col min="13" max="21" width="5.6640625" style="4" customWidth="1"/>
    <col min="22" max="22" width="2.6640625" style="4" customWidth="1"/>
    <col min="23" max="23" width="5.6640625" style="4" customWidth="1"/>
    <col min="24" max="32" width="5.6640625" style="4" hidden="1" customWidth="1"/>
    <col min="33" max="34" width="5.6640625" style="4" customWidth="1"/>
    <col min="35" max="36" width="5.6640625" style="4" hidden="1" customWidth="1"/>
    <col min="37" max="38" width="5.6640625" style="4" customWidth="1"/>
    <col min="39" max="39" width="5.6640625" style="4" hidden="1" customWidth="1"/>
    <col min="40" max="40" width="2.6640625" style="4" customWidth="1"/>
    <col min="41" max="45" width="6.6640625" style="4" customWidth="1"/>
    <col min="46" max="46" width="2.6640625" style="4" customWidth="1"/>
    <col min="47" max="47" width="6.6640625" style="4" customWidth="1"/>
    <col min="48" max="48" width="2.6640625" style="4" customWidth="1"/>
    <col min="49" max="50" width="6.6640625" style="4" customWidth="1"/>
    <col min="51" max="51" width="2.6640625" style="4" customWidth="1"/>
    <col min="52" max="57" width="6.6640625" style="4" customWidth="1"/>
    <col min="58" max="65" width="5.6640625" style="4" customWidth="1"/>
    <col min="66" max="16384" width="5.6640625" style="5"/>
  </cols>
  <sheetData>
    <row r="1" spans="1:65" ht="12" customHeight="1" x14ac:dyDescent="0.2">
      <c r="A1" s="1" t="s">
        <v>69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1" t="s">
        <v>70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5" ht="12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1" t="s">
        <v>71</v>
      </c>
      <c r="AN2" s="2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5" ht="12" customHeight="1" x14ac:dyDescent="0.2">
      <c r="AM3" s="2"/>
      <c r="AN3" s="5"/>
    </row>
    <row r="4" spans="1:65" ht="12" customHeight="1" x14ac:dyDescent="0.2">
      <c r="A4" s="20" t="s">
        <v>67</v>
      </c>
      <c r="C4" s="6" t="s">
        <v>72</v>
      </c>
      <c r="D4" s="3"/>
      <c r="F4" s="6" t="s">
        <v>73</v>
      </c>
      <c r="G4" s="3"/>
      <c r="H4" s="3"/>
      <c r="I4" s="3"/>
      <c r="K4" s="7" t="s">
        <v>74</v>
      </c>
      <c r="M4" s="6" t="s">
        <v>75</v>
      </c>
      <c r="N4" s="3"/>
      <c r="O4" s="3"/>
      <c r="P4" s="3"/>
      <c r="Q4" s="3"/>
      <c r="R4" s="3"/>
      <c r="S4" s="3"/>
      <c r="T4" s="3"/>
      <c r="U4" s="3"/>
      <c r="W4" s="6" t="s">
        <v>76</v>
      </c>
      <c r="X4" s="6"/>
      <c r="Y4" s="6"/>
      <c r="Z4" s="6"/>
      <c r="AA4" s="6"/>
      <c r="AB4" s="6"/>
      <c r="AC4" s="6"/>
      <c r="AD4" s="6"/>
      <c r="AE4" s="6"/>
      <c r="AF4" s="6"/>
      <c r="AG4" s="3"/>
      <c r="AH4" s="3"/>
      <c r="AI4" s="3"/>
      <c r="AJ4" s="3"/>
      <c r="AK4" s="3"/>
      <c r="AL4" s="3"/>
      <c r="AM4" s="20" t="s">
        <v>67</v>
      </c>
      <c r="AN4" s="5"/>
      <c r="AO4" s="6" t="s">
        <v>77</v>
      </c>
      <c r="AP4" s="3"/>
      <c r="AQ4" s="3"/>
      <c r="AR4" s="3"/>
      <c r="AS4" s="3"/>
      <c r="AW4" s="9" t="s">
        <v>78</v>
      </c>
      <c r="AX4" s="9" t="s">
        <v>140</v>
      </c>
      <c r="AZ4" s="6" t="s">
        <v>79</v>
      </c>
      <c r="BA4" s="3"/>
      <c r="BB4" s="3"/>
      <c r="BC4" s="3"/>
      <c r="BD4" s="3"/>
      <c r="BE4" s="3"/>
    </row>
    <row r="5" spans="1:65" s="8" customFormat="1" ht="12" customHeight="1" x14ac:dyDescent="0.2">
      <c r="C5" s="10" t="s">
        <v>80</v>
      </c>
      <c r="D5" s="10" t="s">
        <v>81</v>
      </c>
      <c r="E5" s="9"/>
      <c r="F5" s="10" t="s">
        <v>80</v>
      </c>
      <c r="G5" s="10" t="s">
        <v>81</v>
      </c>
      <c r="H5" s="10"/>
      <c r="I5" s="10" t="s">
        <v>82</v>
      </c>
      <c r="J5" s="9"/>
      <c r="K5" s="9"/>
      <c r="L5" s="9"/>
      <c r="M5" s="10" t="s">
        <v>26</v>
      </c>
      <c r="N5" s="10" t="s">
        <v>83</v>
      </c>
      <c r="O5" s="10" t="s">
        <v>84</v>
      </c>
      <c r="P5" s="10" t="s">
        <v>30</v>
      </c>
      <c r="Q5" s="10" t="s">
        <v>85</v>
      </c>
      <c r="R5" s="10" t="s">
        <v>86</v>
      </c>
      <c r="S5" s="10" t="s">
        <v>87</v>
      </c>
      <c r="T5" s="10"/>
      <c r="U5" s="10" t="s">
        <v>82</v>
      </c>
      <c r="V5" s="9"/>
      <c r="W5" s="10" t="s">
        <v>73</v>
      </c>
      <c r="X5" s="10" t="s">
        <v>88</v>
      </c>
      <c r="Y5" s="6" t="s">
        <v>89</v>
      </c>
      <c r="Z5" s="6"/>
      <c r="AA5" s="6" t="s">
        <v>90</v>
      </c>
      <c r="AB5" s="6" t="s">
        <v>91</v>
      </c>
      <c r="AC5" s="6"/>
      <c r="AD5" s="6" t="s">
        <v>92</v>
      </c>
      <c r="AE5" s="6" t="s">
        <v>93</v>
      </c>
      <c r="AF5" s="6" t="s">
        <v>94</v>
      </c>
      <c r="AG5" s="10" t="s">
        <v>95</v>
      </c>
      <c r="AH5" s="10" t="s">
        <v>96</v>
      </c>
      <c r="AI5" s="10" t="s">
        <v>97</v>
      </c>
      <c r="AJ5" s="10" t="s">
        <v>98</v>
      </c>
      <c r="AK5" s="10" t="s">
        <v>99</v>
      </c>
      <c r="AL5" s="10" t="s">
        <v>100</v>
      </c>
      <c r="AO5" s="10" t="s">
        <v>73</v>
      </c>
      <c r="AP5" s="10" t="s">
        <v>101</v>
      </c>
      <c r="AQ5" s="10" t="s">
        <v>96</v>
      </c>
      <c r="AR5" s="10" t="s">
        <v>100</v>
      </c>
      <c r="AS5" s="10" t="s">
        <v>102</v>
      </c>
      <c r="AT5" s="9"/>
      <c r="AU5" s="10" t="s">
        <v>103</v>
      </c>
      <c r="AV5" s="9"/>
      <c r="AW5" s="10" t="s">
        <v>104</v>
      </c>
      <c r="AX5" s="10" t="s">
        <v>141</v>
      </c>
      <c r="AY5" s="9"/>
      <c r="AZ5" s="13">
        <v>0</v>
      </c>
      <c r="BA5" s="13">
        <v>0.2</v>
      </c>
      <c r="BB5" s="13">
        <v>0.4</v>
      </c>
      <c r="BC5" s="13">
        <v>0.6</v>
      </c>
      <c r="BD5" s="13">
        <v>0.8</v>
      </c>
      <c r="BE5" s="13">
        <v>1</v>
      </c>
      <c r="BF5" s="9"/>
      <c r="BG5" s="9"/>
      <c r="BH5" s="9"/>
      <c r="BI5" s="9"/>
      <c r="BJ5" s="9"/>
      <c r="BK5" s="9"/>
      <c r="BL5" s="9"/>
      <c r="BM5" s="9"/>
    </row>
    <row r="6" spans="1:65" s="8" customFormat="1" ht="12" customHeight="1" x14ac:dyDescent="0.2">
      <c r="C6" s="10" t="s">
        <v>105</v>
      </c>
      <c r="D6" s="10" t="s">
        <v>106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107</v>
      </c>
      <c r="Z6" s="9" t="s">
        <v>108</v>
      </c>
      <c r="AA6" s="9" t="s">
        <v>107</v>
      </c>
      <c r="AB6" s="9" t="s">
        <v>107</v>
      </c>
      <c r="AC6" s="9" t="s">
        <v>108</v>
      </c>
      <c r="AD6" s="9" t="s">
        <v>109</v>
      </c>
      <c r="AE6" s="9"/>
      <c r="AF6" s="9"/>
      <c r="AG6" s="9"/>
      <c r="AH6" s="9"/>
      <c r="AI6" s="9"/>
      <c r="AJ6" s="9"/>
      <c r="AK6" s="9"/>
      <c r="AL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5" ht="12" customHeight="1" x14ac:dyDescent="0.2">
      <c r="AM7" s="8"/>
      <c r="AN7" s="5"/>
    </row>
    <row r="8" spans="1:65" ht="12" customHeight="1" x14ac:dyDescent="0.2">
      <c r="A8" s="8">
        <v>0</v>
      </c>
      <c r="K8" s="4">
        <f>'Input&amp;Output'!D10*'Input&amp;Output'!D11+('Input&amp;Output'!D13+'Input&amp;Output'!D14)*'Input&amp;Output'!D12*'Input&amp;Output'!D15/1000000+'Input&amp;Output'!D16+'Input&amp;Output'!D17</f>
        <v>219</v>
      </c>
      <c r="M8" s="4" cm="1">
        <f t="array" ref="M8:S8">'Opex=min'!M8:S8</f>
        <v>1</v>
      </c>
      <c r="N8" s="4">
        <v>3</v>
      </c>
      <c r="O8" s="4">
        <v>5</v>
      </c>
      <c r="P8" s="4">
        <v>1000</v>
      </c>
      <c r="Q8" s="4">
        <v>200</v>
      </c>
      <c r="R8" s="4">
        <v>2</v>
      </c>
      <c r="S8" s="4">
        <v>30</v>
      </c>
      <c r="AM8" s="8">
        <v>0</v>
      </c>
      <c r="AN8" s="5"/>
      <c r="AP8" s="4">
        <f>K8</f>
        <v>219</v>
      </c>
      <c r="AS8" s="4">
        <f>AO8-AP8-AQ8-AR8</f>
        <v>-219</v>
      </c>
      <c r="AU8" s="4">
        <f>AS8/(1+'Input&amp;Output'!$D$33/100)^A8</f>
        <v>-219</v>
      </c>
      <c r="AW8" s="4">
        <f>AS8</f>
        <v>-219</v>
      </c>
      <c r="AX8" s="4">
        <f>IF(AND(AW8&gt;0,AW7&lt;0),A7+ABS(AW7/AS8),0)</f>
        <v>0</v>
      </c>
      <c r="AZ8" s="4">
        <f>$AS8/(1+AZ$5)^$A8</f>
        <v>-219</v>
      </c>
      <c r="BA8" s="4">
        <f>$AS8/(1+BA$5)^$A8</f>
        <v>-219</v>
      </c>
      <c r="BB8" s="4">
        <f>$AS8/(1+BB$5)^$A8</f>
        <v>-219</v>
      </c>
      <c r="BC8" s="4">
        <f>$AS8/(1+BC$5)^$A8</f>
        <v>-219</v>
      </c>
      <c r="BD8" s="4">
        <f>$AS8/(1+BD$5)^$A8</f>
        <v>-219</v>
      </c>
      <c r="BE8" s="4">
        <f>$AS8/(1+BE$5)^$A8</f>
        <v>-219</v>
      </c>
    </row>
    <row r="9" spans="1:65" ht="12" customHeight="1" x14ac:dyDescent="0.2">
      <c r="A9" s="8">
        <v>1</v>
      </c>
      <c r="C9" s="4">
        <f>'Input&amp;Output'!$D$5*365/1000</f>
        <v>7.3</v>
      </c>
      <c r="D9" s="4">
        <f>C9*'Input&amp;Output'!$D$7/1000</f>
        <v>10.95</v>
      </c>
      <c r="F9" s="4">
        <f>'Input&amp;Output'!$D$30*C9</f>
        <v>146</v>
      </c>
      <c r="G9" s="4">
        <f>'Input&amp;Output'!$D$30*D9</f>
        <v>219</v>
      </c>
      <c r="I9" s="4">
        <f>SUM(F9:G9)</f>
        <v>365</v>
      </c>
      <c r="M9" s="4" cm="1">
        <f t="array" ref="M9:S27">'Opex=min'!M9:S27</f>
        <v>1.02</v>
      </c>
      <c r="N9" s="4">
        <v>3.1500000000000004</v>
      </c>
      <c r="O9" s="4">
        <v>5.3000000000000007</v>
      </c>
      <c r="P9" s="4">
        <v>0.36359999999999998</v>
      </c>
      <c r="Q9" s="4">
        <v>2.4090000000000003</v>
      </c>
      <c r="R9" s="4">
        <v>2.14</v>
      </c>
      <c r="S9" s="4">
        <v>32.1</v>
      </c>
      <c r="U9" s="4">
        <f>SUM(M9:S9)</f>
        <v>46.482600000000005</v>
      </c>
      <c r="W9" s="4" cm="1">
        <f t="array" ref="W9:W28">I9:I28</f>
        <v>365</v>
      </c>
      <c r="AG9" s="4">
        <f>IF(A9&lt;='Input&amp;Output'!$D$38,$K$8/'Input&amp;Output'!$D$38,0)</f>
        <v>21.9</v>
      </c>
      <c r="AH9" s="4" cm="1">
        <f t="array" ref="AH9:AH28">U9:U28</f>
        <v>46.482600000000005</v>
      </c>
      <c r="AK9" s="4">
        <f>MAX(0,W9-AH9-AG9)</f>
        <v>296.61740000000003</v>
      </c>
      <c r="AL9" s="4">
        <f>AK9*('Input&amp;Output'!$D$32/100)</f>
        <v>118.64696000000002</v>
      </c>
      <c r="AM9" s="8"/>
      <c r="AN9" s="5"/>
      <c r="AO9" s="4" cm="1">
        <f t="array" ref="AO9:AO28">W9:W28</f>
        <v>365</v>
      </c>
      <c r="AQ9" s="4" cm="1">
        <f t="array" ref="AQ9:AQ28">AH9:AH28</f>
        <v>46.482600000000005</v>
      </c>
      <c r="AR9" s="4" cm="1">
        <f t="array" ref="AR9:AR28">AL9:AL28</f>
        <v>118.64696000000002</v>
      </c>
      <c r="AS9" s="4">
        <f t="shared" ref="AS9:AS28" si="0">AO9-AP9-AQ9-AR9</f>
        <v>199.87043999999997</v>
      </c>
      <c r="AU9" s="4">
        <f>AS9/(1+'Input&amp;Output'!$D$33/100)^A9</f>
        <v>181.70039999999997</v>
      </c>
      <c r="AW9" s="4">
        <f>AW8+AS9</f>
        <v>-19.129560000000026</v>
      </c>
      <c r="AX9" s="4">
        <f t="shared" ref="AX9:AX28" si="1">IF(AND(AW9&gt;0,AW8&lt;0),A8+ABS(AW8/AS9),0)</f>
        <v>0</v>
      </c>
      <c r="AZ9" s="4">
        <f t="shared" ref="AZ9:BE28" si="2">$AS9/(1+AZ$5)^$A9</f>
        <v>199.87043999999997</v>
      </c>
      <c r="BA9" s="4">
        <f t="shared" si="2"/>
        <v>166.55869999999999</v>
      </c>
      <c r="BB9" s="4">
        <f t="shared" si="2"/>
        <v>142.7646</v>
      </c>
      <c r="BC9" s="4">
        <f t="shared" si="2"/>
        <v>124.91902499999998</v>
      </c>
      <c r="BD9" s="4">
        <f t="shared" si="2"/>
        <v>111.03913333333331</v>
      </c>
      <c r="BE9" s="4">
        <f t="shared" si="2"/>
        <v>99.935219999999987</v>
      </c>
    </row>
    <row r="10" spans="1:65" ht="12" customHeight="1" x14ac:dyDescent="0.2">
      <c r="A10" s="8">
        <v>2</v>
      </c>
      <c r="C10" s="4">
        <f>C9*(1-'Input&amp;Output'!$D$6/100)</f>
        <v>6.9349999999999996</v>
      </c>
      <c r="D10" s="4">
        <f>C10*'Input&amp;Output'!$D$7/1000</f>
        <v>10.4025</v>
      </c>
      <c r="F10" s="4">
        <f>'Input&amp;Output'!$D$30*C10</f>
        <v>138.69999999999999</v>
      </c>
      <c r="G10" s="4">
        <f>'Input&amp;Output'!$D$30*D10</f>
        <v>208.05</v>
      </c>
      <c r="I10" s="4">
        <f t="shared" ref="I10:I28" si="3">SUM(F10:G10)</f>
        <v>346.75</v>
      </c>
      <c r="M10" s="4">
        <v>1.0404</v>
      </c>
      <c r="N10" s="4">
        <v>3.3075000000000001</v>
      </c>
      <c r="O10" s="4">
        <v>5.6180000000000003</v>
      </c>
      <c r="P10" s="4">
        <v>0.36723600000000001</v>
      </c>
      <c r="Q10" s="4">
        <v>2.6499000000000001</v>
      </c>
      <c r="R10" s="4">
        <v>2.2898000000000001</v>
      </c>
      <c r="S10" s="4">
        <v>34.347000000000001</v>
      </c>
      <c r="U10" s="4">
        <f t="shared" ref="U10:U28" si="4">SUM(M10:S10)</f>
        <v>49.619836000000006</v>
      </c>
      <c r="W10" s="4">
        <v>346.75</v>
      </c>
      <c r="AG10" s="4">
        <f>IF(A10&lt;='Input&amp;Output'!$D$38,$K$8/'Input&amp;Output'!$D$38,0)</f>
        <v>21.9</v>
      </c>
      <c r="AH10" s="4">
        <v>49.619836000000006</v>
      </c>
      <c r="AK10" s="4">
        <f t="shared" ref="AK10:AK28" si="5">MAX(0,W10-AH10-AG10)</f>
        <v>275.230164</v>
      </c>
      <c r="AL10" s="4">
        <f>AK10*('Input&amp;Output'!$D$32/100)</f>
        <v>110.09206560000001</v>
      </c>
      <c r="AM10" s="8"/>
      <c r="AN10" s="5"/>
      <c r="AO10" s="4">
        <v>346.75</v>
      </c>
      <c r="AQ10" s="4">
        <v>49.619836000000006</v>
      </c>
      <c r="AR10" s="4">
        <v>110.09206560000001</v>
      </c>
      <c r="AS10" s="4">
        <f t="shared" si="0"/>
        <v>187.03809839999997</v>
      </c>
      <c r="AU10" s="4">
        <f>AS10/(1+'Input&amp;Output'!$D$33/100)^A10</f>
        <v>154.57694082644622</v>
      </c>
      <c r="AW10" s="4">
        <f t="shared" ref="AW10:AW28" si="6">AW9+AS10</f>
        <v>167.90853839999994</v>
      </c>
      <c r="AX10" s="4">
        <f t="shared" si="1"/>
        <v>1.1022762750671766</v>
      </c>
      <c r="AZ10" s="4">
        <f t="shared" si="2"/>
        <v>187.03809839999997</v>
      </c>
      <c r="BA10" s="4">
        <f t="shared" si="2"/>
        <v>129.88756833333332</v>
      </c>
      <c r="BB10" s="4">
        <f t="shared" si="2"/>
        <v>95.427601224489791</v>
      </c>
      <c r="BC10" s="4">
        <f t="shared" si="2"/>
        <v>73.061757187499978</v>
      </c>
      <c r="BD10" s="4">
        <f t="shared" si="2"/>
        <v>57.727808148148135</v>
      </c>
      <c r="BE10" s="4">
        <f t="shared" si="2"/>
        <v>46.759524599999992</v>
      </c>
    </row>
    <row r="11" spans="1:65" ht="12" customHeight="1" x14ac:dyDescent="0.2">
      <c r="A11" s="8">
        <v>3</v>
      </c>
      <c r="C11" s="4">
        <f>C10*(1-'Input&amp;Output'!$D$6/100)</f>
        <v>6.5882499999999995</v>
      </c>
      <c r="D11" s="4">
        <f>C11*'Input&amp;Output'!$D$7/1000</f>
        <v>9.8823749999999997</v>
      </c>
      <c r="F11" s="4">
        <f>'Input&amp;Output'!$D$30*C11</f>
        <v>131.76499999999999</v>
      </c>
      <c r="G11" s="4">
        <f>'Input&amp;Output'!$D$30*D11</f>
        <v>197.64749999999998</v>
      </c>
      <c r="I11" s="4">
        <f t="shared" si="3"/>
        <v>329.41249999999997</v>
      </c>
      <c r="M11" s="4">
        <v>1.0612079999999999</v>
      </c>
      <c r="N11" s="4">
        <v>3.4728750000000002</v>
      </c>
      <c r="O11" s="4">
        <v>5.9550800000000015</v>
      </c>
      <c r="P11" s="4">
        <v>0.37090835999999994</v>
      </c>
      <c r="Q11" s="4">
        <v>2.9148900000000006</v>
      </c>
      <c r="R11" s="4">
        <v>2.4500860000000002</v>
      </c>
      <c r="S11" s="4">
        <v>36.751290000000004</v>
      </c>
      <c r="U11" s="4">
        <f t="shared" si="4"/>
        <v>52.976337360000002</v>
      </c>
      <c r="W11" s="4">
        <v>329.41249999999997</v>
      </c>
      <c r="AG11" s="4">
        <f>IF(A11&lt;='Input&amp;Output'!$D$38,$K$8/'Input&amp;Output'!$D$38,0)</f>
        <v>21.9</v>
      </c>
      <c r="AH11" s="4">
        <v>52.976337360000002</v>
      </c>
      <c r="AK11" s="4">
        <f t="shared" si="5"/>
        <v>254.53616263999996</v>
      </c>
      <c r="AL11" s="4">
        <f>AK11*('Input&amp;Output'!$D$32/100)</f>
        <v>101.81446505599999</v>
      </c>
      <c r="AM11" s="8"/>
      <c r="AN11" s="5"/>
      <c r="AO11" s="4">
        <v>329.41249999999997</v>
      </c>
      <c r="AQ11" s="4">
        <v>52.976337360000002</v>
      </c>
      <c r="AR11" s="4">
        <v>101.81446505599999</v>
      </c>
      <c r="AS11" s="4">
        <f t="shared" si="0"/>
        <v>174.62169758399997</v>
      </c>
      <c r="AU11" s="4">
        <f>AS11/(1+'Input&amp;Output'!$D$33/100)^A11</f>
        <v>131.19586595341843</v>
      </c>
      <c r="AW11" s="4">
        <f t="shared" si="6"/>
        <v>342.53023598399989</v>
      </c>
      <c r="AX11" s="4">
        <f t="shared" si="1"/>
        <v>0</v>
      </c>
      <c r="AZ11" s="4">
        <f t="shared" si="2"/>
        <v>174.62169758399997</v>
      </c>
      <c r="BA11" s="4">
        <f t="shared" si="2"/>
        <v>101.05422313888887</v>
      </c>
      <c r="BB11" s="4">
        <f t="shared" si="2"/>
        <v>63.637644892128286</v>
      </c>
      <c r="BC11" s="4">
        <f t="shared" si="2"/>
        <v>42.632250386718731</v>
      </c>
      <c r="BD11" s="4">
        <f t="shared" si="2"/>
        <v>29.941992041152254</v>
      </c>
      <c r="BE11" s="4">
        <f t="shared" si="2"/>
        <v>21.827712197999997</v>
      </c>
    </row>
    <row r="12" spans="1:65" ht="12" customHeight="1" x14ac:dyDescent="0.2">
      <c r="A12" s="8">
        <v>4</v>
      </c>
      <c r="C12" s="4">
        <f>C11*(1-'Input&amp;Output'!$D$6/100)</f>
        <v>6.2588374999999994</v>
      </c>
      <c r="D12" s="4">
        <f>C12*'Input&amp;Output'!$D$7/1000</f>
        <v>9.3882562499999977</v>
      </c>
      <c r="F12" s="4">
        <f>'Input&amp;Output'!$D$30*C12</f>
        <v>125.17674999999998</v>
      </c>
      <c r="G12" s="4">
        <f>'Input&amp;Output'!$D$30*D12</f>
        <v>187.76512499999995</v>
      </c>
      <c r="I12" s="4">
        <f t="shared" si="3"/>
        <v>312.94187499999992</v>
      </c>
      <c r="M12" s="4">
        <v>1.08243216</v>
      </c>
      <c r="N12" s="4">
        <v>3.6465187500000003</v>
      </c>
      <c r="O12" s="4">
        <v>6.312384800000002</v>
      </c>
      <c r="P12" s="4">
        <v>0.37461744359999999</v>
      </c>
      <c r="Q12" s="4">
        <v>3.206379000000001</v>
      </c>
      <c r="R12" s="4">
        <v>2.62159202</v>
      </c>
      <c r="S12" s="4">
        <v>39.323880299999999</v>
      </c>
      <c r="U12" s="4">
        <f t="shared" si="4"/>
        <v>56.567804473600006</v>
      </c>
      <c r="W12" s="4">
        <v>312.94187499999992</v>
      </c>
      <c r="AG12" s="4">
        <f>IF(A12&lt;='Input&amp;Output'!$D$38,$K$8/'Input&amp;Output'!$D$38,0)</f>
        <v>21.9</v>
      </c>
      <c r="AH12" s="4">
        <v>56.567804473600006</v>
      </c>
      <c r="AK12" s="4">
        <f t="shared" si="5"/>
        <v>234.47407052639991</v>
      </c>
      <c r="AL12" s="4">
        <f>AK12*('Input&amp;Output'!$D$32/100)</f>
        <v>93.789628210559968</v>
      </c>
      <c r="AM12" s="8"/>
      <c r="AN12" s="5"/>
      <c r="AO12" s="4">
        <v>312.94187499999992</v>
      </c>
      <c r="AQ12" s="4">
        <v>56.567804473600006</v>
      </c>
      <c r="AR12" s="4">
        <v>93.789628210559968</v>
      </c>
      <c r="AS12" s="4">
        <f t="shared" si="0"/>
        <v>162.58444231583996</v>
      </c>
      <c r="AU12" s="4">
        <f>AS12/(1+'Input&amp;Output'!$D$33/100)^A12</f>
        <v>111.04736173474484</v>
      </c>
      <c r="AW12" s="4">
        <f t="shared" si="6"/>
        <v>505.11467829983985</v>
      </c>
      <c r="AX12" s="4">
        <f t="shared" si="1"/>
        <v>0</v>
      </c>
      <c r="AZ12" s="4">
        <f t="shared" si="2"/>
        <v>162.58444231583996</v>
      </c>
      <c r="BA12" s="4">
        <f t="shared" si="2"/>
        <v>78.406849110648139</v>
      </c>
      <c r="BB12" s="4">
        <f t="shared" si="2"/>
        <v>42.322064326280717</v>
      </c>
      <c r="BC12" s="4">
        <f t="shared" si="2"/>
        <v>24.808417101415998</v>
      </c>
      <c r="BD12" s="4">
        <f t="shared" si="2"/>
        <v>15.487772663831727</v>
      </c>
      <c r="BE12" s="4">
        <f t="shared" si="2"/>
        <v>10.161527644739998</v>
      </c>
    </row>
    <row r="13" spans="1:65" ht="12" customHeight="1" x14ac:dyDescent="0.2">
      <c r="A13" s="8">
        <v>5</v>
      </c>
      <c r="C13" s="4">
        <f>C12*(1-'Input&amp;Output'!$D$6/100)</f>
        <v>5.9458956249999995</v>
      </c>
      <c r="D13" s="4">
        <f>C13*'Input&amp;Output'!$D$7/1000</f>
        <v>8.9188434374999996</v>
      </c>
      <c r="F13" s="4">
        <f>'Input&amp;Output'!$D$30*C13</f>
        <v>118.91791249999999</v>
      </c>
      <c r="G13" s="4">
        <f>'Input&amp;Output'!$D$30*D13</f>
        <v>178.37686875</v>
      </c>
      <c r="I13" s="4">
        <f t="shared" si="3"/>
        <v>297.29478124999997</v>
      </c>
      <c r="M13" s="4">
        <v>1.1040808032</v>
      </c>
      <c r="N13" s="4">
        <v>3.8288446875000002</v>
      </c>
      <c r="O13" s="4">
        <v>6.6911278880000022</v>
      </c>
      <c r="P13" s="4">
        <v>0.37836361803599994</v>
      </c>
      <c r="Q13" s="4">
        <v>3.5270169000000013</v>
      </c>
      <c r="R13" s="4">
        <v>2.8051034614000003</v>
      </c>
      <c r="S13" s="4">
        <v>42.076551921000004</v>
      </c>
      <c r="U13" s="4">
        <f t="shared" si="4"/>
        <v>60.411089279136007</v>
      </c>
      <c r="W13" s="4">
        <v>297.29478124999997</v>
      </c>
      <c r="AG13" s="4">
        <f>IF(A13&lt;='Input&amp;Output'!$D$38,$K$8/'Input&amp;Output'!$D$38,0)</f>
        <v>21.9</v>
      </c>
      <c r="AH13" s="4">
        <v>60.411089279136007</v>
      </c>
      <c r="AK13" s="4">
        <f t="shared" si="5"/>
        <v>214.98369197086396</v>
      </c>
      <c r="AL13" s="4">
        <f>AK13*('Input&amp;Output'!$D$32/100)</f>
        <v>85.993476788345589</v>
      </c>
      <c r="AM13" s="8"/>
      <c r="AN13" s="5"/>
      <c r="AO13" s="4">
        <v>297.29478124999997</v>
      </c>
      <c r="AQ13" s="4">
        <v>60.411089279136007</v>
      </c>
      <c r="AR13" s="4">
        <v>85.993476788345589</v>
      </c>
      <c r="AS13" s="4">
        <f t="shared" si="0"/>
        <v>150.89021518251838</v>
      </c>
      <c r="AU13" s="4">
        <f>AS13/(1+'Input&amp;Output'!$D$33/100)^A13</f>
        <v>93.690952047809901</v>
      </c>
      <c r="AW13" s="4">
        <f t="shared" si="6"/>
        <v>656.00489348235828</v>
      </c>
      <c r="AX13" s="4">
        <f t="shared" si="1"/>
        <v>0</v>
      </c>
      <c r="AZ13" s="4">
        <f t="shared" si="2"/>
        <v>150.89021518251838</v>
      </c>
      <c r="BA13" s="4">
        <f t="shared" si="2"/>
        <v>60.639393318591814</v>
      </c>
      <c r="BB13" s="4">
        <f t="shared" si="2"/>
        <v>28.055686466672821</v>
      </c>
      <c r="BC13" s="4">
        <f t="shared" si="2"/>
        <v>14.390012281658009</v>
      </c>
      <c r="BD13" s="4">
        <f t="shared" si="2"/>
        <v>7.9854345110902774</v>
      </c>
      <c r="BE13" s="4">
        <f t="shared" si="2"/>
        <v>4.7153192244536992</v>
      </c>
    </row>
    <row r="14" spans="1:65" ht="12" customHeight="1" x14ac:dyDescent="0.2">
      <c r="A14" s="8">
        <v>6</v>
      </c>
      <c r="C14" s="4">
        <f>C13*(1-'Input&amp;Output'!$D$6/100)</f>
        <v>5.6486008437499988</v>
      </c>
      <c r="D14" s="4">
        <f>C14*'Input&amp;Output'!$D$7/1000</f>
        <v>8.4729012656249978</v>
      </c>
      <c r="F14" s="4">
        <f>'Input&amp;Output'!$D$30*C14</f>
        <v>112.97201687499998</v>
      </c>
      <c r="G14" s="4">
        <f>'Input&amp;Output'!$D$30*D14</f>
        <v>169.45802531249996</v>
      </c>
      <c r="I14" s="4">
        <f t="shared" si="3"/>
        <v>282.43004218749991</v>
      </c>
      <c r="M14" s="4">
        <v>1.1261624192640001</v>
      </c>
      <c r="N14" s="4">
        <v>4.0202869218749999</v>
      </c>
      <c r="O14" s="4">
        <v>7.0925955612800031</v>
      </c>
      <c r="P14" s="4">
        <v>0.38214725421636003</v>
      </c>
      <c r="Q14" s="4">
        <v>3.8797185900000017</v>
      </c>
      <c r="R14" s="4">
        <v>3.0014607036980001</v>
      </c>
      <c r="S14" s="4">
        <v>45.021910555470001</v>
      </c>
      <c r="U14" s="4">
        <f t="shared" si="4"/>
        <v>64.524282005803371</v>
      </c>
      <c r="W14" s="4">
        <v>282.43004218749991</v>
      </c>
      <c r="AG14" s="4">
        <f>IF(A14&lt;='Input&amp;Output'!$D$38,$K$8/'Input&amp;Output'!$D$38,0)</f>
        <v>21.9</v>
      </c>
      <c r="AH14" s="4">
        <v>64.524282005803371</v>
      </c>
      <c r="AK14" s="4">
        <f t="shared" si="5"/>
        <v>196.00576018169653</v>
      </c>
      <c r="AL14" s="4">
        <f>AK14*('Input&amp;Output'!$D$32/100)</f>
        <v>78.402304072678618</v>
      </c>
      <c r="AM14" s="8"/>
      <c r="AN14" s="5"/>
      <c r="AO14" s="4">
        <v>282.43004218749991</v>
      </c>
      <c r="AQ14" s="4">
        <v>64.524282005803371</v>
      </c>
      <c r="AR14" s="4">
        <v>78.402304072678618</v>
      </c>
      <c r="AS14" s="4">
        <f t="shared" si="0"/>
        <v>139.50345610901792</v>
      </c>
      <c r="AU14" s="4">
        <f>AS14/(1+'Input&amp;Output'!$D$33/100)^A14</f>
        <v>78.746064125941956</v>
      </c>
      <c r="AW14" s="4">
        <f t="shared" si="6"/>
        <v>795.50834959137615</v>
      </c>
      <c r="AX14" s="4">
        <f t="shared" si="1"/>
        <v>0</v>
      </c>
      <c r="AZ14" s="4">
        <f t="shared" si="2"/>
        <v>139.50345610901792</v>
      </c>
      <c r="BA14" s="4">
        <f t="shared" si="2"/>
        <v>46.719425190830869</v>
      </c>
      <c r="BB14" s="4">
        <f t="shared" si="2"/>
        <v>18.527497060777449</v>
      </c>
      <c r="BC14" s="4">
        <f t="shared" si="2"/>
        <v>8.3150539463173061</v>
      </c>
      <c r="BD14" s="4">
        <f t="shared" si="2"/>
        <v>4.1015681923363161</v>
      </c>
      <c r="BE14" s="4">
        <f t="shared" si="2"/>
        <v>2.179741501703405</v>
      </c>
    </row>
    <row r="15" spans="1:65" ht="12" customHeight="1" x14ac:dyDescent="0.2">
      <c r="A15" s="8">
        <v>7</v>
      </c>
      <c r="C15" s="4">
        <f>C14*(1-'Input&amp;Output'!$D$6/100)</f>
        <v>5.3661708015624985</v>
      </c>
      <c r="D15" s="4">
        <f>C15*'Input&amp;Output'!$D$7/1000</f>
        <v>8.0492562023437468</v>
      </c>
      <c r="F15" s="4">
        <f>'Input&amp;Output'!$D$30*C15</f>
        <v>107.32341603124996</v>
      </c>
      <c r="G15" s="4">
        <f>'Input&amp;Output'!$D$30*D15</f>
        <v>160.98512404687494</v>
      </c>
      <c r="I15" s="4">
        <f t="shared" si="3"/>
        <v>268.30854007812491</v>
      </c>
      <c r="M15" s="4">
        <v>1.1486856676492798</v>
      </c>
      <c r="N15" s="4">
        <v>4.2213012679687507</v>
      </c>
      <c r="O15" s="4">
        <v>7.5181512949568043</v>
      </c>
      <c r="P15" s="4">
        <v>0.38596872675852351</v>
      </c>
      <c r="Q15" s="4">
        <v>4.2676904490000025</v>
      </c>
      <c r="R15" s="4">
        <v>3.2115629529568603</v>
      </c>
      <c r="S15" s="4">
        <v>48.173444294352905</v>
      </c>
      <c r="U15" s="4">
        <f t="shared" si="4"/>
        <v>68.926804653643131</v>
      </c>
      <c r="W15" s="4">
        <v>268.30854007812491</v>
      </c>
      <c r="AG15" s="4">
        <f>IF(A15&lt;='Input&amp;Output'!$D$38,$K$8/'Input&amp;Output'!$D$38,0)</f>
        <v>21.9</v>
      </c>
      <c r="AH15" s="4">
        <v>68.926804653643131</v>
      </c>
      <c r="AK15" s="4">
        <f t="shared" si="5"/>
        <v>177.48173542448177</v>
      </c>
      <c r="AL15" s="4">
        <f>AK15*('Input&amp;Output'!$D$32/100)</f>
        <v>70.992694169792713</v>
      </c>
      <c r="AM15" s="8"/>
      <c r="AN15" s="5"/>
      <c r="AO15" s="4">
        <v>268.30854007812491</v>
      </c>
      <c r="AQ15" s="4">
        <v>68.926804653643131</v>
      </c>
      <c r="AR15" s="4">
        <v>70.992694169792713</v>
      </c>
      <c r="AS15" s="4">
        <f t="shared" si="0"/>
        <v>128.38904125468906</v>
      </c>
      <c r="AU15" s="4">
        <f>AS15/(1+'Input&amp;Output'!$D$33/100)^A15</f>
        <v>65.883878811700782</v>
      </c>
      <c r="AW15" s="4">
        <f t="shared" si="6"/>
        <v>923.89739084606526</v>
      </c>
      <c r="AX15" s="4">
        <f t="shared" si="1"/>
        <v>0</v>
      </c>
      <c r="AZ15" s="4">
        <f t="shared" si="2"/>
        <v>128.38904125468906</v>
      </c>
      <c r="BA15" s="4">
        <f t="shared" si="2"/>
        <v>35.831025120108109</v>
      </c>
      <c r="BB15" s="4">
        <f t="shared" si="2"/>
        <v>12.179562995523717</v>
      </c>
      <c r="BC15" s="4">
        <f t="shared" si="2"/>
        <v>4.7828644981491921</v>
      </c>
      <c r="BD15" s="4">
        <f t="shared" si="2"/>
        <v>2.0971061798691526</v>
      </c>
      <c r="BE15" s="4">
        <f t="shared" si="2"/>
        <v>1.0030393848022583</v>
      </c>
    </row>
    <row r="16" spans="1:65" ht="12" customHeight="1" x14ac:dyDescent="0.2">
      <c r="A16" s="8">
        <v>8</v>
      </c>
      <c r="C16" s="4">
        <f>C15*(1-'Input&amp;Output'!$D$6/100)</f>
        <v>5.0978622614843729</v>
      </c>
      <c r="D16" s="4">
        <f>C16*'Input&amp;Output'!$D$7/1000</f>
        <v>7.6467933922265594</v>
      </c>
      <c r="F16" s="4">
        <f>'Input&amp;Output'!$D$30*C16</f>
        <v>101.95724522968746</v>
      </c>
      <c r="G16" s="4">
        <f>'Input&amp;Output'!$D$30*D16</f>
        <v>152.93586784453117</v>
      </c>
      <c r="I16" s="4">
        <f t="shared" si="3"/>
        <v>254.89311307421863</v>
      </c>
      <c r="M16" s="4">
        <v>1.1716593810022655</v>
      </c>
      <c r="N16" s="4">
        <v>4.4323663313671879</v>
      </c>
      <c r="O16" s="4">
        <v>7.9692403726542116</v>
      </c>
      <c r="P16" s="4">
        <v>0.38982841402610885</v>
      </c>
      <c r="Q16" s="4">
        <v>4.6944594939000019</v>
      </c>
      <c r="R16" s="4">
        <v>3.4363723596638405</v>
      </c>
      <c r="S16" s="4">
        <v>51.545585394957605</v>
      </c>
      <c r="U16" s="4">
        <f t="shared" si="4"/>
        <v>73.63951174757122</v>
      </c>
      <c r="W16" s="4">
        <v>254.89311307421863</v>
      </c>
      <c r="AG16" s="4">
        <f>IF(A16&lt;='Input&amp;Output'!$D$38,$K$8/'Input&amp;Output'!$D$38,0)</f>
        <v>21.9</v>
      </c>
      <c r="AH16" s="4">
        <v>73.63951174757122</v>
      </c>
      <c r="AK16" s="4">
        <f t="shared" si="5"/>
        <v>159.35360132664741</v>
      </c>
      <c r="AL16" s="4">
        <f>AK16*('Input&amp;Output'!$D$32/100)</f>
        <v>63.741440530658963</v>
      </c>
      <c r="AM16" s="8"/>
      <c r="AN16" s="5"/>
      <c r="AO16" s="4">
        <v>254.89311307421863</v>
      </c>
      <c r="AQ16" s="4">
        <v>73.63951174757122</v>
      </c>
      <c r="AR16" s="4">
        <v>63.741440530658963</v>
      </c>
      <c r="AS16" s="4">
        <f t="shared" si="0"/>
        <v>117.51216079598845</v>
      </c>
      <c r="AU16" s="4">
        <f>AS16/(1+'Input&amp;Output'!$D$33/100)^A16</f>
        <v>54.820290275721483</v>
      </c>
      <c r="AW16" s="4">
        <f t="shared" si="6"/>
        <v>1041.4095516420537</v>
      </c>
      <c r="AX16" s="4">
        <f t="shared" si="1"/>
        <v>0</v>
      </c>
      <c r="AZ16" s="4">
        <f t="shared" si="2"/>
        <v>117.51216079598845</v>
      </c>
      <c r="BA16" s="4">
        <f t="shared" si="2"/>
        <v>27.329572837442008</v>
      </c>
      <c r="BB16" s="4">
        <f t="shared" si="2"/>
        <v>7.9626665015727367</v>
      </c>
      <c r="BC16" s="4">
        <f t="shared" si="2"/>
        <v>2.7360432035286992</v>
      </c>
      <c r="BD16" s="4">
        <f t="shared" si="2"/>
        <v>1.0663573611317101</v>
      </c>
      <c r="BE16" s="4">
        <f t="shared" si="2"/>
        <v>0.45903187810932988</v>
      </c>
    </row>
    <row r="17" spans="1:57" ht="12" customHeight="1" x14ac:dyDescent="0.2">
      <c r="A17" s="8">
        <v>9</v>
      </c>
      <c r="C17" s="4">
        <f>C16*(1-'Input&amp;Output'!$D$6/100)</f>
        <v>4.8429691484101545</v>
      </c>
      <c r="D17" s="4">
        <f>C17*'Input&amp;Output'!$D$7/1000</f>
        <v>7.2644537226152313</v>
      </c>
      <c r="F17" s="4">
        <f>'Input&amp;Output'!$D$30*C17</f>
        <v>96.859382968203093</v>
      </c>
      <c r="G17" s="4">
        <f>'Input&amp;Output'!$D$30*D17</f>
        <v>145.28907445230462</v>
      </c>
      <c r="I17" s="4">
        <f t="shared" si="3"/>
        <v>242.14845742050773</v>
      </c>
      <c r="M17" s="4">
        <v>1.1950925686223108</v>
      </c>
      <c r="N17" s="4">
        <v>4.6539846479355473</v>
      </c>
      <c r="O17" s="4">
        <v>8.447394795013464</v>
      </c>
      <c r="P17" s="4">
        <v>0.39372669816636996</v>
      </c>
      <c r="Q17" s="4">
        <v>5.1639054432900027</v>
      </c>
      <c r="R17" s="4">
        <v>3.6769184248403097</v>
      </c>
      <c r="S17" s="4">
        <v>55.153776372604646</v>
      </c>
      <c r="U17" s="4">
        <f t="shared" si="4"/>
        <v>78.684798950472654</v>
      </c>
      <c r="W17" s="4">
        <v>242.14845742050773</v>
      </c>
      <c r="AG17" s="4">
        <f>IF(A17&lt;='Input&amp;Output'!$D$38,$K$8/'Input&amp;Output'!$D$38,0)</f>
        <v>21.9</v>
      </c>
      <c r="AH17" s="4">
        <v>78.684798950472654</v>
      </c>
      <c r="AK17" s="4">
        <f t="shared" si="5"/>
        <v>141.56365847003505</v>
      </c>
      <c r="AL17" s="4">
        <f>AK17*('Input&amp;Output'!$D$32/100)</f>
        <v>56.625463388014026</v>
      </c>
      <c r="AM17" s="8"/>
      <c r="AN17" s="5"/>
      <c r="AO17" s="4">
        <v>242.14845742050773</v>
      </c>
      <c r="AQ17" s="4">
        <v>78.684798950472654</v>
      </c>
      <c r="AR17" s="4">
        <v>56.625463388014026</v>
      </c>
      <c r="AS17" s="4">
        <f t="shared" si="0"/>
        <v>106.83819508202103</v>
      </c>
      <c r="AU17" s="4">
        <f>AS17/(1+'Input&amp;Output'!$D$33/100)^A17</f>
        <v>45.309824085500026</v>
      </c>
      <c r="AW17" s="4">
        <f t="shared" si="6"/>
        <v>1148.2477467240747</v>
      </c>
      <c r="AX17" s="4">
        <f t="shared" si="1"/>
        <v>0</v>
      </c>
      <c r="AZ17" s="4">
        <f t="shared" si="2"/>
        <v>106.83819508202103</v>
      </c>
      <c r="BA17" s="4">
        <f t="shared" si="2"/>
        <v>20.705957965945029</v>
      </c>
      <c r="BB17" s="4">
        <f t="shared" si="2"/>
        <v>5.1709962326186227</v>
      </c>
      <c r="BC17" s="4">
        <f t="shared" si="2"/>
        <v>1.5547003579852889</v>
      </c>
      <c r="BD17" s="4">
        <f t="shared" si="2"/>
        <v>0.53860948425361221</v>
      </c>
      <c r="BE17" s="4">
        <f t="shared" si="2"/>
        <v>0.20866834976957233</v>
      </c>
    </row>
    <row r="18" spans="1:57" ht="12" customHeight="1" x14ac:dyDescent="0.2">
      <c r="A18" s="8">
        <v>10</v>
      </c>
      <c r="C18" s="4">
        <f>C17*(1-'Input&amp;Output'!$D$6/100)</f>
        <v>4.6008206909896465</v>
      </c>
      <c r="D18" s="4">
        <f>C18*'Input&amp;Output'!$D$7/1000</f>
        <v>6.9012310364844698</v>
      </c>
      <c r="F18" s="4">
        <f>'Input&amp;Output'!$D$30*C18</f>
        <v>92.01641381979293</v>
      </c>
      <c r="G18" s="4">
        <f>'Input&amp;Output'!$D$30*D18</f>
        <v>138.02462072968939</v>
      </c>
      <c r="I18" s="4">
        <f t="shared" si="3"/>
        <v>230.04103454948233</v>
      </c>
      <c r="M18" s="4">
        <v>1.2189944199947571</v>
      </c>
      <c r="N18" s="4">
        <v>4.8866838803323249</v>
      </c>
      <c r="O18" s="4">
        <v>8.9542384827142723</v>
      </c>
      <c r="P18" s="4">
        <v>0.3976639651480337</v>
      </c>
      <c r="Q18" s="4">
        <v>5.6802959876190036</v>
      </c>
      <c r="R18" s="4">
        <v>3.9343027145791312</v>
      </c>
      <c r="S18" s="4">
        <v>59.014540718686966</v>
      </c>
      <c r="U18" s="4">
        <f t="shared" si="4"/>
        <v>84.086720169074482</v>
      </c>
      <c r="W18" s="4">
        <v>230.04103454948233</v>
      </c>
      <c r="AG18" s="4">
        <f>IF(A18&lt;='Input&amp;Output'!$D$38,$K$8/'Input&amp;Output'!$D$38,0)</f>
        <v>21.9</v>
      </c>
      <c r="AH18" s="4">
        <v>84.086720169074482</v>
      </c>
      <c r="AK18" s="4">
        <f t="shared" si="5"/>
        <v>124.05431438040785</v>
      </c>
      <c r="AL18" s="4">
        <f>AK18*('Input&amp;Output'!$D$32/100)</f>
        <v>49.621725752163144</v>
      </c>
      <c r="AM18" s="8"/>
      <c r="AN18" s="5"/>
      <c r="AO18" s="4">
        <v>230.04103454948233</v>
      </c>
      <c r="AQ18" s="4">
        <v>84.086720169074482</v>
      </c>
      <c r="AR18" s="4">
        <v>49.621725752163144</v>
      </c>
      <c r="AS18" s="4">
        <f t="shared" si="0"/>
        <v>96.332588628244707</v>
      </c>
      <c r="AU18" s="4">
        <f>AS18/(1+'Input&amp;Output'!$D$33/100)^A18</f>
        <v>37.140383098995343</v>
      </c>
      <c r="AW18" s="4">
        <f t="shared" si="6"/>
        <v>1244.5803353523193</v>
      </c>
      <c r="AX18" s="4">
        <f t="shared" si="1"/>
        <v>0</v>
      </c>
      <c r="AZ18" s="4">
        <f t="shared" si="2"/>
        <v>96.332588628244707</v>
      </c>
      <c r="BA18" s="4">
        <f t="shared" si="2"/>
        <v>15.558250877692387</v>
      </c>
      <c r="BB18" s="4">
        <f t="shared" si="2"/>
        <v>3.3303729765814025</v>
      </c>
      <c r="BC18" s="4">
        <f t="shared" si="2"/>
        <v>0.87613978965459505</v>
      </c>
      <c r="BD18" s="4">
        <f t="shared" si="2"/>
        <v>0.26980387303353137</v>
      </c>
      <c r="BE18" s="4">
        <f t="shared" si="2"/>
        <v>9.4074793582270222E-2</v>
      </c>
    </row>
    <row r="19" spans="1:57" ht="12" customHeight="1" x14ac:dyDescent="0.2">
      <c r="A19" s="8">
        <v>11</v>
      </c>
      <c r="C19" s="4">
        <f>C18*(1-'Input&amp;Output'!$D$6/100)</f>
        <v>4.3707796564401642</v>
      </c>
      <c r="D19" s="4">
        <f>C19*'Input&amp;Output'!$D$7/1000</f>
        <v>6.5561694846602458</v>
      </c>
      <c r="F19" s="4">
        <f>'Input&amp;Output'!$D$30*C19</f>
        <v>87.41559312880328</v>
      </c>
      <c r="G19" s="4">
        <f>'Input&amp;Output'!$D$30*D19</f>
        <v>131.12338969320493</v>
      </c>
      <c r="I19" s="4">
        <f t="shared" si="3"/>
        <v>218.53898282200822</v>
      </c>
      <c r="M19" s="4">
        <v>1.243374308394652</v>
      </c>
      <c r="N19" s="4">
        <v>5.1310180743489413</v>
      </c>
      <c r="O19" s="4">
        <v>9.4914927916771301</v>
      </c>
      <c r="P19" s="4">
        <v>0.40164060479951397</v>
      </c>
      <c r="Q19" s="4">
        <v>6.2483255863809051</v>
      </c>
      <c r="R19" s="4">
        <v>4.2097039045996709</v>
      </c>
      <c r="S19" s="4">
        <v>63.145558568995064</v>
      </c>
      <c r="U19" s="4">
        <f t="shared" si="4"/>
        <v>89.871113839195871</v>
      </c>
      <c r="W19" s="4">
        <v>218.53898282200822</v>
      </c>
      <c r="AG19" s="4">
        <f>IF(A19&lt;='Input&amp;Output'!$D$38,$K$8/'Input&amp;Output'!$D$38,0)</f>
        <v>0</v>
      </c>
      <c r="AH19" s="4">
        <v>89.871113839195871</v>
      </c>
      <c r="AK19" s="4">
        <f t="shared" si="5"/>
        <v>128.66786898281237</v>
      </c>
      <c r="AL19" s="4">
        <f>AK19*('Input&amp;Output'!$D$32/100)</f>
        <v>51.467147593124949</v>
      </c>
      <c r="AM19" s="8"/>
      <c r="AN19" s="5"/>
      <c r="AO19" s="4">
        <v>218.53898282200822</v>
      </c>
      <c r="AQ19" s="4">
        <v>89.871113839195871</v>
      </c>
      <c r="AR19" s="4">
        <v>51.467147593124949</v>
      </c>
      <c r="AS19" s="4">
        <f t="shared" si="0"/>
        <v>77.200721389687416</v>
      </c>
      <c r="AU19" s="4">
        <f>AS19/(1+'Input&amp;Output'!$D$33/100)^A19</f>
        <v>27.058381882648067</v>
      </c>
      <c r="AW19" s="4">
        <f t="shared" si="6"/>
        <v>1321.7810567420067</v>
      </c>
      <c r="AX19" s="4">
        <f t="shared" si="1"/>
        <v>0</v>
      </c>
      <c r="AZ19" s="4">
        <f t="shared" si="2"/>
        <v>77.200721389687416</v>
      </c>
      <c r="BA19" s="4">
        <f t="shared" si="2"/>
        <v>10.390289589631708</v>
      </c>
      <c r="BB19" s="4">
        <f t="shared" si="2"/>
        <v>1.9063953327140297</v>
      </c>
      <c r="BC19" s="4">
        <f t="shared" si="2"/>
        <v>0.43883529423105377</v>
      </c>
      <c r="BD19" s="4">
        <f t="shared" si="2"/>
        <v>0.1201223451685082</v>
      </c>
      <c r="BE19" s="4">
        <f t="shared" si="2"/>
        <v>3.7695664741058309E-2</v>
      </c>
    </row>
    <row r="20" spans="1:57" ht="12" customHeight="1" x14ac:dyDescent="0.2">
      <c r="A20" s="8">
        <v>12</v>
      </c>
      <c r="C20" s="4">
        <f>C19*(1-'Input&amp;Output'!$D$6/100)</f>
        <v>4.1522406736181559</v>
      </c>
      <c r="D20" s="4">
        <f>C20*'Input&amp;Output'!$D$7/1000</f>
        <v>6.2283610104272338</v>
      </c>
      <c r="F20" s="4">
        <f>'Input&amp;Output'!$D$30*C20</f>
        <v>83.044813472363117</v>
      </c>
      <c r="G20" s="4">
        <f>'Input&amp;Output'!$D$30*D20</f>
        <v>124.56722020854468</v>
      </c>
      <c r="I20" s="4">
        <f t="shared" si="3"/>
        <v>207.61203368090781</v>
      </c>
      <c r="M20" s="4">
        <v>1.2682417945625453</v>
      </c>
      <c r="N20" s="4">
        <v>5.3875689780663878</v>
      </c>
      <c r="O20" s="4">
        <v>10.060982359177759</v>
      </c>
      <c r="P20" s="4">
        <v>0.4056570108475091</v>
      </c>
      <c r="Q20" s="4">
        <v>6.8731581450189951</v>
      </c>
      <c r="R20" s="4">
        <v>4.504383177921647</v>
      </c>
      <c r="S20" s="4">
        <v>67.565747668824699</v>
      </c>
      <c r="U20" s="4">
        <f t="shared" si="4"/>
        <v>96.065739134419545</v>
      </c>
      <c r="W20" s="4">
        <v>207.61203368090781</v>
      </c>
      <c r="AG20" s="4">
        <f>IF(A20&lt;='Input&amp;Output'!$D$38,$K$8/'Input&amp;Output'!$D$38,0)</f>
        <v>0</v>
      </c>
      <c r="AH20" s="4">
        <v>96.065739134419545</v>
      </c>
      <c r="AK20" s="4">
        <f t="shared" si="5"/>
        <v>111.54629454648827</v>
      </c>
      <c r="AL20" s="4">
        <f>AK20*('Input&amp;Output'!$D$32/100)</f>
        <v>44.618517818595308</v>
      </c>
      <c r="AM20" s="8"/>
      <c r="AN20" s="5"/>
      <c r="AO20" s="4">
        <v>207.61203368090781</v>
      </c>
      <c r="AQ20" s="4">
        <v>96.065739134419545</v>
      </c>
      <c r="AR20" s="4">
        <v>44.618517818595308</v>
      </c>
      <c r="AS20" s="4">
        <f t="shared" si="0"/>
        <v>66.927776727892962</v>
      </c>
      <c r="AU20" s="4">
        <f>AS20/(1+'Input&amp;Output'!$D$33/100)^A20</f>
        <v>21.325252226344706</v>
      </c>
      <c r="AW20" s="4">
        <f t="shared" si="6"/>
        <v>1388.7088334698997</v>
      </c>
      <c r="AX20" s="4">
        <f t="shared" si="1"/>
        <v>0</v>
      </c>
      <c r="AZ20" s="4">
        <f t="shared" si="2"/>
        <v>66.927776727892962</v>
      </c>
      <c r="BA20" s="4">
        <f t="shared" si="2"/>
        <v>7.5063955499720878</v>
      </c>
      <c r="BB20" s="4">
        <f t="shared" si="2"/>
        <v>1.1805108154267436</v>
      </c>
      <c r="BC20" s="4">
        <f t="shared" si="2"/>
        <v>0.23777522787289082</v>
      </c>
      <c r="BD20" s="4">
        <f t="shared" si="2"/>
        <v>5.7854392439961627E-2</v>
      </c>
      <c r="BE20" s="4">
        <f t="shared" si="2"/>
        <v>1.6339789240208243E-2</v>
      </c>
    </row>
    <row r="21" spans="1:57" ht="12" customHeight="1" x14ac:dyDescent="0.2">
      <c r="A21" s="8">
        <v>13</v>
      </c>
      <c r="C21" s="4">
        <f>C20*(1-'Input&amp;Output'!$D$6/100)</f>
        <v>3.9446286399372479</v>
      </c>
      <c r="D21" s="4">
        <f>C21*'Input&amp;Output'!$D$7/1000</f>
        <v>5.9169429599058718</v>
      </c>
      <c r="F21" s="4">
        <f>'Input&amp;Output'!$D$30*C21</f>
        <v>78.892572798744965</v>
      </c>
      <c r="G21" s="4">
        <f>'Input&amp;Output'!$D$30*D21</f>
        <v>118.33885919811743</v>
      </c>
      <c r="I21" s="4">
        <f t="shared" si="3"/>
        <v>197.2314319968624</v>
      </c>
      <c r="M21" s="4">
        <v>1.2936066304537961</v>
      </c>
      <c r="N21" s="4">
        <v>5.6569474269697082</v>
      </c>
      <c r="O21" s="4">
        <v>10.664641300728427</v>
      </c>
      <c r="P21" s="4">
        <v>0.4097135809559842</v>
      </c>
      <c r="Q21" s="4">
        <v>7.5604739595208956</v>
      </c>
      <c r="R21" s="4">
        <v>4.8196900003761627</v>
      </c>
      <c r="S21" s="4">
        <v>72.295350005642433</v>
      </c>
      <c r="U21" s="4">
        <f t="shared" si="4"/>
        <v>102.70042290464741</v>
      </c>
      <c r="W21" s="4">
        <v>197.2314319968624</v>
      </c>
      <c r="AG21" s="4">
        <f>IF(A21&lt;='Input&amp;Output'!$D$38,$K$8/'Input&amp;Output'!$D$38,0)</f>
        <v>0</v>
      </c>
      <c r="AH21" s="4">
        <v>102.70042290464741</v>
      </c>
      <c r="AK21" s="4">
        <f t="shared" si="5"/>
        <v>94.531009092214987</v>
      </c>
      <c r="AL21" s="4">
        <f>AK21*('Input&amp;Output'!$D$32/100)</f>
        <v>37.812403636885996</v>
      </c>
      <c r="AM21" s="8"/>
      <c r="AN21" s="5"/>
      <c r="AO21" s="4">
        <v>197.2314319968624</v>
      </c>
      <c r="AQ21" s="4">
        <v>102.70042290464741</v>
      </c>
      <c r="AR21" s="4">
        <v>37.812403636885996</v>
      </c>
      <c r="AS21" s="4">
        <f t="shared" si="0"/>
        <v>56.718605455328991</v>
      </c>
      <c r="AU21" s="4">
        <f>AS21/(1+'Input&amp;Output'!$D$33/100)^A21</f>
        <v>16.429359668747786</v>
      </c>
      <c r="AW21" s="4">
        <f t="shared" si="6"/>
        <v>1445.4274389252287</v>
      </c>
      <c r="AX21" s="4">
        <f t="shared" si="1"/>
        <v>0</v>
      </c>
      <c r="AZ21" s="4">
        <f t="shared" si="2"/>
        <v>56.718605455328991</v>
      </c>
      <c r="BA21" s="4">
        <f t="shared" si="2"/>
        <v>5.301140876598434</v>
      </c>
      <c r="BB21" s="4">
        <f t="shared" si="2"/>
        <v>0.71459682201439889</v>
      </c>
      <c r="BC21" s="4">
        <f t="shared" si="2"/>
        <v>0.12594060340227234</v>
      </c>
      <c r="BD21" s="4">
        <f t="shared" si="2"/>
        <v>2.7238486844318455E-2</v>
      </c>
      <c r="BE21" s="4">
        <f t="shared" si="2"/>
        <v>6.9236578924962147E-3</v>
      </c>
    </row>
    <row r="22" spans="1:57" ht="12" customHeight="1" x14ac:dyDescent="0.2">
      <c r="A22" s="8">
        <v>14</v>
      </c>
      <c r="C22" s="4">
        <f>C21*(1-'Input&amp;Output'!$D$6/100)</f>
        <v>3.7473972079403852</v>
      </c>
      <c r="D22" s="4">
        <f>C22*'Input&amp;Output'!$D$7/1000</f>
        <v>5.6210958119105783</v>
      </c>
      <c r="F22" s="4">
        <f>'Input&amp;Output'!$D$30*C22</f>
        <v>74.947944158807701</v>
      </c>
      <c r="G22" s="4">
        <f>'Input&amp;Output'!$D$30*D22</f>
        <v>112.42191623821157</v>
      </c>
      <c r="I22" s="4">
        <f t="shared" si="3"/>
        <v>187.36986039701927</v>
      </c>
      <c r="M22" s="4">
        <v>1.3194787630628722</v>
      </c>
      <c r="N22" s="4">
        <v>5.939794798318192</v>
      </c>
      <c r="O22" s="4">
        <v>11.30451977877213</v>
      </c>
      <c r="P22" s="4">
        <v>0.4138107167655441</v>
      </c>
      <c r="Q22" s="4">
        <v>8.316521355472986</v>
      </c>
      <c r="R22" s="4">
        <v>5.1570683004024938</v>
      </c>
      <c r="S22" s="4">
        <v>77.3560245060374</v>
      </c>
      <c r="U22" s="4">
        <f t="shared" si="4"/>
        <v>109.80721821883162</v>
      </c>
      <c r="W22" s="4">
        <v>187.36986039701927</v>
      </c>
      <c r="AG22" s="4">
        <f>IF(A22&lt;='Input&amp;Output'!$D$38,$K$8/'Input&amp;Output'!$D$38,0)</f>
        <v>0</v>
      </c>
      <c r="AH22" s="4">
        <v>109.80721821883162</v>
      </c>
      <c r="AK22" s="4">
        <f t="shared" si="5"/>
        <v>77.562642178187645</v>
      </c>
      <c r="AL22" s="4">
        <f>AK22*('Input&amp;Output'!$D$32/100)</f>
        <v>31.025056871275059</v>
      </c>
      <c r="AM22" s="8"/>
      <c r="AN22" s="5"/>
      <c r="AO22" s="4">
        <v>187.36986039701927</v>
      </c>
      <c r="AQ22" s="4">
        <v>109.80721821883162</v>
      </c>
      <c r="AR22" s="4">
        <v>31.025056871275059</v>
      </c>
      <c r="AS22" s="4">
        <f t="shared" si="0"/>
        <v>46.53758530691259</v>
      </c>
      <c r="AU22" s="4">
        <f>AS22/(1+'Input&amp;Output'!$D$33/100)^A22</f>
        <v>12.25480071124548</v>
      </c>
      <c r="AW22" s="4">
        <f t="shared" si="6"/>
        <v>1491.9650242321413</v>
      </c>
      <c r="AX22" s="4">
        <f t="shared" si="1"/>
        <v>0</v>
      </c>
      <c r="AZ22" s="4">
        <f t="shared" si="2"/>
        <v>46.53758530691259</v>
      </c>
      <c r="BA22" s="4">
        <f t="shared" si="2"/>
        <v>3.6246527012340084</v>
      </c>
      <c r="BB22" s="4">
        <f t="shared" si="2"/>
        <v>0.41880450613002251</v>
      </c>
      <c r="BC22" s="4">
        <f t="shared" si="2"/>
        <v>6.4583873397739577E-2</v>
      </c>
      <c r="BD22" s="4">
        <f t="shared" si="2"/>
        <v>1.2416202124040097E-2</v>
      </c>
      <c r="BE22" s="4">
        <f t="shared" si="2"/>
        <v>2.8404287907051141E-3</v>
      </c>
    </row>
    <row r="23" spans="1:57" ht="12" customHeight="1" x14ac:dyDescent="0.2">
      <c r="A23" s="8">
        <v>15</v>
      </c>
      <c r="C23" s="4">
        <f>C22*(1-'Input&amp;Output'!$D$6/100)</f>
        <v>3.5600273475433659</v>
      </c>
      <c r="D23" s="4">
        <f>C23*'Input&amp;Output'!$D$7/1000</f>
        <v>5.3400410213150487</v>
      </c>
      <c r="F23" s="4">
        <f>'Input&amp;Output'!$D$30*C23</f>
        <v>71.20054695086732</v>
      </c>
      <c r="G23" s="4">
        <f>'Input&amp;Output'!$D$30*D23</f>
        <v>106.80082042630097</v>
      </c>
      <c r="I23" s="4">
        <f t="shared" si="3"/>
        <v>178.00136737716829</v>
      </c>
      <c r="M23" s="4">
        <v>1.3458683383241292</v>
      </c>
      <c r="N23" s="4">
        <v>6.2367845382341036</v>
      </c>
      <c r="O23" s="4">
        <v>11.982790965498463</v>
      </c>
      <c r="P23" s="4">
        <v>0.41794882393319943</v>
      </c>
      <c r="Q23" s="4">
        <v>9.1481734910202857</v>
      </c>
      <c r="R23" s="4">
        <v>5.518063081430669</v>
      </c>
      <c r="S23" s="4">
        <v>82.770946221460036</v>
      </c>
      <c r="U23" s="4">
        <f t="shared" si="4"/>
        <v>117.42057545990087</v>
      </c>
      <c r="W23" s="4">
        <v>178.00136737716829</v>
      </c>
      <c r="AG23" s="4">
        <f>IF(A23&lt;='Input&amp;Output'!$D$38,$K$8/'Input&amp;Output'!$D$38,0)</f>
        <v>0</v>
      </c>
      <c r="AH23" s="4">
        <v>117.42057545990087</v>
      </c>
      <c r="AK23" s="4">
        <f t="shared" si="5"/>
        <v>60.580791917267419</v>
      </c>
      <c r="AL23" s="4">
        <f>AK23*('Input&amp;Output'!$D$32/100)</f>
        <v>24.232316766906969</v>
      </c>
      <c r="AM23" s="8"/>
      <c r="AN23" s="5"/>
      <c r="AO23" s="4">
        <v>178.00136737716829</v>
      </c>
      <c r="AQ23" s="4">
        <v>117.42057545990087</v>
      </c>
      <c r="AR23" s="4">
        <v>24.232316766906969</v>
      </c>
      <c r="AS23" s="4">
        <f t="shared" si="0"/>
        <v>36.34847515036045</v>
      </c>
      <c r="AU23" s="4">
        <f>AS23/(1+'Input&amp;Output'!$D$33/100)^A23</f>
        <v>8.7015359576888986</v>
      </c>
      <c r="AW23" s="4">
        <f t="shared" si="6"/>
        <v>1528.3134993825017</v>
      </c>
      <c r="AX23" s="4">
        <f t="shared" si="1"/>
        <v>0</v>
      </c>
      <c r="AZ23" s="4">
        <f t="shared" si="2"/>
        <v>36.34847515036045</v>
      </c>
      <c r="BA23" s="4">
        <f t="shared" si="2"/>
        <v>2.359214918626237</v>
      </c>
      <c r="BB23" s="4">
        <f t="shared" si="2"/>
        <v>0.23364993329787645</v>
      </c>
      <c r="BC23" s="4">
        <f t="shared" si="2"/>
        <v>3.1527276579644888E-2</v>
      </c>
      <c r="BD23" s="4">
        <f t="shared" si="2"/>
        <v>5.3876406372655753E-3</v>
      </c>
      <c r="BE23" s="4">
        <f t="shared" si="2"/>
        <v>1.1092674301257462E-3</v>
      </c>
    </row>
    <row r="24" spans="1:57" ht="12" customHeight="1" x14ac:dyDescent="0.2">
      <c r="A24" s="8">
        <v>16</v>
      </c>
      <c r="C24" s="4">
        <f>C23*(1-'Input&amp;Output'!$D$6/100)</f>
        <v>3.3820259801661976</v>
      </c>
      <c r="D24" s="4">
        <f>C24*'Input&amp;Output'!$D$7/1000</f>
        <v>5.0730389702492964</v>
      </c>
      <c r="F24" s="4">
        <f>'Input&amp;Output'!$D$30*C24</f>
        <v>67.640519603323952</v>
      </c>
      <c r="G24" s="4">
        <f>'Input&amp;Output'!$D$30*D24</f>
        <v>101.46077940498593</v>
      </c>
      <c r="I24" s="4">
        <f t="shared" si="3"/>
        <v>169.10129900830987</v>
      </c>
      <c r="M24" s="4">
        <v>1.372785705090612</v>
      </c>
      <c r="N24" s="4">
        <v>6.5486237651458081</v>
      </c>
      <c r="O24" s="4">
        <v>12.701758423428366</v>
      </c>
      <c r="P24" s="4">
        <v>0.42212831217253155</v>
      </c>
      <c r="Q24" s="4">
        <v>10.062990840122314</v>
      </c>
      <c r="R24" s="4">
        <v>5.9043274971308151</v>
      </c>
      <c r="S24" s="4">
        <v>88.564912456962219</v>
      </c>
      <c r="U24" s="4">
        <f t="shared" si="4"/>
        <v>125.57752700005267</v>
      </c>
      <c r="W24" s="4">
        <v>169.10129900830987</v>
      </c>
      <c r="AG24" s="4">
        <f>IF(A24&lt;='Input&amp;Output'!$D$38,$K$8/'Input&amp;Output'!$D$38,0)</f>
        <v>0</v>
      </c>
      <c r="AH24" s="4">
        <v>125.57752700005267</v>
      </c>
      <c r="AK24" s="4">
        <f t="shared" si="5"/>
        <v>43.523772008257197</v>
      </c>
      <c r="AL24" s="4">
        <f>AK24*('Input&amp;Output'!$D$32/100)</f>
        <v>17.409508803302881</v>
      </c>
      <c r="AM24" s="8"/>
      <c r="AN24" s="5"/>
      <c r="AO24" s="4">
        <v>169.10129900830987</v>
      </c>
      <c r="AQ24" s="4">
        <v>125.57752700005267</v>
      </c>
      <c r="AR24" s="4">
        <v>17.409508803302881</v>
      </c>
      <c r="AS24" s="4">
        <f t="shared" si="0"/>
        <v>26.114263204954316</v>
      </c>
      <c r="AU24" s="4">
        <f>AS24/(1+'Input&amp;Output'!$D$33/100)^A24</f>
        <v>5.6832245330906828</v>
      </c>
      <c r="AW24" s="4">
        <f t="shared" si="6"/>
        <v>1554.4277625874561</v>
      </c>
      <c r="AX24" s="4">
        <f t="shared" si="1"/>
        <v>0</v>
      </c>
      <c r="AZ24" s="4">
        <f t="shared" si="2"/>
        <v>26.114263204954316</v>
      </c>
      <c r="BA24" s="4">
        <f t="shared" si="2"/>
        <v>1.4124654722379621</v>
      </c>
      <c r="BB24" s="4">
        <f t="shared" si="2"/>
        <v>0.11990276720630109</v>
      </c>
      <c r="BC24" s="4">
        <f t="shared" si="2"/>
        <v>1.4156570449834847E-2</v>
      </c>
      <c r="BD24" s="4">
        <f t="shared" si="2"/>
        <v>2.1503922955847664E-3</v>
      </c>
      <c r="BE24" s="4">
        <f t="shared" si="2"/>
        <v>3.9847203376700311E-4</v>
      </c>
    </row>
    <row r="25" spans="1:57" ht="12" customHeight="1" x14ac:dyDescent="0.2">
      <c r="A25" s="8">
        <v>17</v>
      </c>
      <c r="C25" s="4">
        <f>C24*(1-'Input&amp;Output'!$D$6/100)</f>
        <v>3.2129246811578875</v>
      </c>
      <c r="D25" s="4">
        <f>C25*'Input&amp;Output'!$D$7/1000</f>
        <v>4.8193870217368309</v>
      </c>
      <c r="F25" s="4">
        <f>'Input&amp;Output'!$D$30*C25</f>
        <v>64.258493623157747</v>
      </c>
      <c r="G25" s="4">
        <f>'Input&amp;Output'!$D$30*D25</f>
        <v>96.387740434736614</v>
      </c>
      <c r="I25" s="4">
        <f t="shared" si="3"/>
        <v>160.64623405789436</v>
      </c>
      <c r="M25" s="4">
        <v>1.4002414191924244</v>
      </c>
      <c r="N25" s="4">
        <v>6.8760549534030995</v>
      </c>
      <c r="O25" s="4">
        <v>13.463863928834069</v>
      </c>
      <c r="P25" s="4">
        <v>0.42634959529425687</v>
      </c>
      <c r="Q25" s="4">
        <v>11.069289924134546</v>
      </c>
      <c r="R25" s="4">
        <v>6.3176304219299722</v>
      </c>
      <c r="S25" s="4">
        <v>94.764456328949578</v>
      </c>
      <c r="U25" s="4">
        <f t="shared" si="4"/>
        <v>134.31788657173794</v>
      </c>
      <c r="W25" s="4">
        <v>160.64623405789436</v>
      </c>
      <c r="AG25" s="4">
        <f>IF(A25&lt;='Input&amp;Output'!$D$38,$K$8/'Input&amp;Output'!$D$38,0)</f>
        <v>0</v>
      </c>
      <c r="AH25" s="4">
        <v>134.31788657173794</v>
      </c>
      <c r="AK25" s="4">
        <f t="shared" si="5"/>
        <v>26.328347486156417</v>
      </c>
      <c r="AL25" s="4">
        <f>AK25*('Input&amp;Output'!$D$32/100)</f>
        <v>10.531338994462567</v>
      </c>
      <c r="AM25" s="8"/>
      <c r="AN25" s="5"/>
      <c r="AO25" s="4">
        <v>160.64623405789436</v>
      </c>
      <c r="AQ25" s="4">
        <v>134.31788657173794</v>
      </c>
      <c r="AR25" s="4">
        <v>10.531338994462567</v>
      </c>
      <c r="AS25" s="4">
        <f t="shared" si="0"/>
        <v>15.79700849169385</v>
      </c>
      <c r="AU25" s="4">
        <f>AS25/(1+'Input&amp;Output'!$D$33/100)^A25</f>
        <v>3.1253539146517912</v>
      </c>
      <c r="AW25" s="4">
        <f t="shared" si="6"/>
        <v>1570.2247710791498</v>
      </c>
      <c r="AX25" s="4">
        <f t="shared" si="1"/>
        <v>0</v>
      </c>
      <c r="AZ25" s="4">
        <f t="shared" si="2"/>
        <v>15.79700849169385</v>
      </c>
      <c r="BA25" s="4">
        <f t="shared" si="2"/>
        <v>0.71202241995906512</v>
      </c>
      <c r="BB25" s="4">
        <f t="shared" si="2"/>
        <v>5.1808169156719847E-2</v>
      </c>
      <c r="BC25" s="4">
        <f t="shared" si="2"/>
        <v>5.3522346642082509E-3</v>
      </c>
      <c r="BD25" s="4">
        <f t="shared" si="2"/>
        <v>7.2267372489590606E-4</v>
      </c>
      <c r="BE25" s="4">
        <f t="shared" si="2"/>
        <v>1.2052161019663887E-4</v>
      </c>
    </row>
    <row r="26" spans="1:57" ht="12" customHeight="1" x14ac:dyDescent="0.2">
      <c r="A26" s="8">
        <v>18</v>
      </c>
      <c r="C26" s="4">
        <f>C25*(1-'Input&amp;Output'!$D$6/100)</f>
        <v>3.0522784470999929</v>
      </c>
      <c r="D26" s="4">
        <f>C26*'Input&amp;Output'!$D$7/1000</f>
        <v>4.5784176706499897</v>
      </c>
      <c r="F26" s="4">
        <f>'Input&amp;Output'!$D$30*C26</f>
        <v>61.045568941999861</v>
      </c>
      <c r="G26" s="4">
        <f>'Input&amp;Output'!$D$30*D26</f>
        <v>91.568353412999798</v>
      </c>
      <c r="I26" s="4">
        <f t="shared" si="3"/>
        <v>152.61392235499966</v>
      </c>
      <c r="M26" s="4">
        <v>1.4282462475762727</v>
      </c>
      <c r="N26" s="4">
        <v>7.2198577010732539</v>
      </c>
      <c r="O26" s="4">
        <v>14.271695764564114</v>
      </c>
      <c r="P26" s="4">
        <v>0.43061309124719949</v>
      </c>
      <c r="Q26" s="4">
        <v>12.176218916548001</v>
      </c>
      <c r="R26" s="4">
        <v>6.7598645514650704</v>
      </c>
      <c r="S26" s="4">
        <v>101.39796827197605</v>
      </c>
      <c r="U26" s="4">
        <f t="shared" si="4"/>
        <v>143.68446454444995</v>
      </c>
      <c r="W26" s="4">
        <v>152.61392235499966</v>
      </c>
      <c r="AG26" s="4">
        <f>IF(A26&lt;='Input&amp;Output'!$D$38,$K$8/'Input&amp;Output'!$D$38,0)</f>
        <v>0</v>
      </c>
      <c r="AH26" s="4">
        <v>143.68446454444995</v>
      </c>
      <c r="AK26" s="4">
        <f t="shared" si="5"/>
        <v>8.9294578105497067</v>
      </c>
      <c r="AL26" s="4">
        <f>AK26*('Input&amp;Output'!$D$32/100)</f>
        <v>3.5717831242198828</v>
      </c>
      <c r="AM26" s="8"/>
      <c r="AN26" s="5"/>
      <c r="AO26" s="4">
        <v>152.61392235499966</v>
      </c>
      <c r="AQ26" s="4">
        <v>143.68446454444995</v>
      </c>
      <c r="AR26" s="4">
        <v>3.5717831242198828</v>
      </c>
      <c r="AS26" s="4">
        <f t="shared" si="0"/>
        <v>5.3576746863298244</v>
      </c>
      <c r="AU26" s="4">
        <f>AS26/(1+'Input&amp;Output'!$D$33/100)^A26</f>
        <v>0.96362488581050798</v>
      </c>
      <c r="AW26" s="4">
        <f t="shared" si="6"/>
        <v>1575.5824457654796</v>
      </c>
      <c r="AX26" s="4">
        <f t="shared" si="1"/>
        <v>0</v>
      </c>
      <c r="AZ26" s="4">
        <f t="shared" si="2"/>
        <v>5.3576746863298244</v>
      </c>
      <c r="BA26" s="4">
        <f t="shared" si="2"/>
        <v>0.20123981583389772</v>
      </c>
      <c r="BB26" s="4">
        <f t="shared" si="2"/>
        <v>1.2550808346403052E-2</v>
      </c>
      <c r="BC26" s="4">
        <f t="shared" si="2"/>
        <v>1.1345317449979256E-3</v>
      </c>
      <c r="BD26" s="4">
        <f t="shared" si="2"/>
        <v>1.3616680526661878E-4</v>
      </c>
      <c r="BE26" s="4">
        <f t="shared" si="2"/>
        <v>2.0437906976050661E-5</v>
      </c>
    </row>
    <row r="27" spans="1:57" ht="12" customHeight="1" x14ac:dyDescent="0.2">
      <c r="A27" s="8">
        <v>19</v>
      </c>
      <c r="C27" s="4">
        <f>C26*(1-'Input&amp;Output'!$D$6/100)</f>
        <v>2.8996645247449933</v>
      </c>
      <c r="D27" s="4">
        <f>C27*'Input&amp;Output'!$D$7/1000</f>
        <v>4.3494967871174897</v>
      </c>
      <c r="F27" s="4">
        <f>'Input&amp;Output'!$D$30*C27</f>
        <v>57.993290494899867</v>
      </c>
      <c r="G27" s="4">
        <f>'Input&amp;Output'!$D$30*D27</f>
        <v>86.989935742349786</v>
      </c>
      <c r="I27" s="4">
        <f t="shared" si="3"/>
        <v>144.98322623724965</v>
      </c>
      <c r="M27" s="4">
        <v>1.4568111725277981</v>
      </c>
      <c r="N27" s="4">
        <v>7.5808505861269175</v>
      </c>
      <c r="O27" s="4">
        <v>15.127997510437963</v>
      </c>
      <c r="P27" s="4">
        <v>0.43491922215967138</v>
      </c>
      <c r="Q27" s="4">
        <v>13.393840808202803</v>
      </c>
      <c r="R27" s="4">
        <v>7.2330550700676257</v>
      </c>
      <c r="S27" s="4">
        <v>108.49582605101439</v>
      </c>
      <c r="U27" s="4">
        <f t="shared" si="4"/>
        <v>153.72330042053716</v>
      </c>
      <c r="W27" s="4">
        <v>144.98322623724965</v>
      </c>
      <c r="AG27" s="4">
        <f>IF(A27&lt;='Input&amp;Output'!$D$38,$K$8/'Input&amp;Output'!$D$38,0)</f>
        <v>0</v>
      </c>
      <c r="AH27" s="4">
        <v>153.72330042053716</v>
      </c>
      <c r="AK27" s="4">
        <f t="shared" si="5"/>
        <v>0</v>
      </c>
      <c r="AL27" s="4">
        <f>AK27*('Input&amp;Output'!$D$32/100)</f>
        <v>0</v>
      </c>
      <c r="AM27" s="8"/>
      <c r="AN27" s="5"/>
      <c r="AO27" s="4">
        <v>144.98322623724965</v>
      </c>
      <c r="AQ27" s="4">
        <v>153.72330042053716</v>
      </c>
      <c r="AR27" s="4">
        <v>0</v>
      </c>
      <c r="AS27" s="4">
        <f t="shared" si="0"/>
        <v>-8.7400741832875042</v>
      </c>
      <c r="AU27" s="4">
        <f>AS27/(1+'Input&amp;Output'!$D$33/100)^A27</f>
        <v>-1.4290719693844081</v>
      </c>
      <c r="AW27" s="4">
        <f t="shared" si="6"/>
        <v>1566.8423715821921</v>
      </c>
      <c r="AX27" s="4">
        <f t="shared" si="1"/>
        <v>0</v>
      </c>
      <c r="AZ27" s="4">
        <f t="shared" si="2"/>
        <v>-8.7400741832875042</v>
      </c>
      <c r="BA27" s="4">
        <f t="shared" si="2"/>
        <v>-0.27357187305951841</v>
      </c>
      <c r="BB27" s="4">
        <f t="shared" si="2"/>
        <v>-1.4624547618934497E-2</v>
      </c>
      <c r="BC27" s="4">
        <f t="shared" si="2"/>
        <v>-1.1567391866705034E-3</v>
      </c>
      <c r="BD27" s="4">
        <f t="shared" si="2"/>
        <v>-1.2340635412515883E-4</v>
      </c>
      <c r="BE27" s="4">
        <f t="shared" si="2"/>
        <v>-1.6670368544173249E-5</v>
      </c>
    </row>
    <row r="28" spans="1:57" ht="12" customHeight="1" x14ac:dyDescent="0.2">
      <c r="A28" s="18">
        <v>20</v>
      </c>
      <c r="C28" s="11">
        <f>C27*(1-'Input&amp;Output'!$D$6/100)</f>
        <v>2.7546812985077436</v>
      </c>
      <c r="D28" s="11">
        <f>C28*'Input&amp;Output'!$D$7/1000</f>
        <v>4.1320219477616158</v>
      </c>
      <c r="F28" s="4">
        <f>'Input&amp;Output'!$D$30*C28</f>
        <v>55.093625970154875</v>
      </c>
      <c r="G28" s="4">
        <f>'Input&amp;Output'!$D$30*D28</f>
        <v>82.640438955232312</v>
      </c>
      <c r="H28" s="11"/>
      <c r="I28" s="4">
        <f t="shared" si="3"/>
        <v>137.7340649253872</v>
      </c>
      <c r="M28" s="11">
        <f>'Input&amp;Output'!$D$20*(1+'Input&amp;Output'!$G$20/100)^'Cash Flow'!$A28</f>
        <v>1.4859473959783542</v>
      </c>
      <c r="N28" s="11">
        <f>'Input&amp;Output'!$D$21*(1+'Input&amp;Output'!$G$21/100)^'Cash Flow'!$A28</f>
        <v>7.9598931154332622</v>
      </c>
      <c r="O28" s="11">
        <f>'Input&amp;Output'!$D$22*(1+'Input&amp;Output'!$G$22/100)^'Cash Flow'!$A28</f>
        <v>16.035677361064241</v>
      </c>
      <c r="P28" s="11">
        <f>'Input&amp;Output'!$D$23*12*'Input&amp;Output'!$D$27*(1+'Input&amp;Output'!$G$23/100)^'Cash Flow'!$A28/1000000</f>
        <v>0.43926841438126812</v>
      </c>
      <c r="Q28" s="11">
        <f>'Input&amp;Output'!$D$24*365*'Input&amp;Output'!$D$27*(1+'Input&amp;Output'!$G$24/100)^'Cash Flow'!$A28/1000000</f>
        <v>14.733224889023084</v>
      </c>
      <c r="R28" s="11">
        <f>'Input&amp;Output'!$D$25*(1+'Input&amp;Output'!$G$25/100)^'Cash Flow'!$A28</f>
        <v>7.739368924972359</v>
      </c>
      <c r="S28" s="11">
        <f>'Input&amp;Output'!$D$26*'Input&amp;Output'!$D$10*(1+'Input&amp;Output'!$G$26/100)^'Cash Flow'!$A28</f>
        <v>116.09053387458539</v>
      </c>
      <c r="T28" s="11"/>
      <c r="U28" s="4">
        <f t="shared" si="4"/>
        <v>164.48391397543796</v>
      </c>
      <c r="W28" s="11">
        <v>137.7340649253872</v>
      </c>
      <c r="X28" s="11"/>
      <c r="Y28" s="11"/>
      <c r="Z28" s="11"/>
      <c r="AA28" s="11"/>
      <c r="AB28" s="11"/>
      <c r="AC28" s="11"/>
      <c r="AD28" s="11"/>
      <c r="AE28" s="11"/>
      <c r="AF28" s="11"/>
      <c r="AG28" s="4">
        <f>IF(A28&lt;='Input&amp;Output'!$D$38,$K$8/'Input&amp;Output'!$D$38,0)</f>
        <v>0</v>
      </c>
      <c r="AH28" s="11">
        <v>164.48391397543796</v>
      </c>
      <c r="AI28" s="11"/>
      <c r="AJ28" s="11"/>
      <c r="AK28" s="4">
        <f t="shared" si="5"/>
        <v>0</v>
      </c>
      <c r="AL28" s="4">
        <f>AK28*('Input&amp;Output'!$D$32/100)</f>
        <v>0</v>
      </c>
      <c r="AM28" s="18"/>
      <c r="AN28" s="5"/>
      <c r="AO28" s="11">
        <v>137.7340649253872</v>
      </c>
      <c r="AP28" s="11"/>
      <c r="AQ28" s="11">
        <v>164.48391397543796</v>
      </c>
      <c r="AR28" s="11">
        <v>0</v>
      </c>
      <c r="AS28" s="4">
        <f t="shared" si="0"/>
        <v>-26.749849050050756</v>
      </c>
      <c r="AU28" s="4">
        <f>AS28/(1+'Input&amp;Output'!$D$33/100)^A28</f>
        <v>-3.9761946118977325</v>
      </c>
      <c r="AV28" s="14"/>
      <c r="AW28" s="4">
        <f t="shared" si="6"/>
        <v>1540.0925225321414</v>
      </c>
      <c r="AX28" s="4">
        <f t="shared" si="1"/>
        <v>0</v>
      </c>
      <c r="AZ28" s="4">
        <f t="shared" si="2"/>
        <v>-26.749849050050756</v>
      </c>
      <c r="BA28" s="4">
        <f t="shared" si="2"/>
        <v>-0.69774448851122894</v>
      </c>
      <c r="BB28" s="4">
        <f t="shared" si="2"/>
        <v>-3.1971324027352567E-2</v>
      </c>
      <c r="BC28" s="4">
        <f t="shared" si="2"/>
        <v>-2.2126956522921962E-3</v>
      </c>
      <c r="BD28" s="4">
        <f t="shared" si="2"/>
        <v>-2.0983176492797136E-4</v>
      </c>
      <c r="BE28" s="4">
        <f t="shared" si="2"/>
        <v>-2.551064400677753E-5</v>
      </c>
    </row>
    <row r="29" spans="1:57" ht="12" customHeight="1" x14ac:dyDescent="0.2">
      <c r="AM29" s="8"/>
      <c r="AN29" s="5"/>
    </row>
    <row r="30" spans="1:57" s="12" customFormat="1" ht="12" customHeight="1" x14ac:dyDescent="0.2">
      <c r="A30" s="19" t="s">
        <v>82</v>
      </c>
      <c r="C30" s="12">
        <f>SUM(C9:C29)</f>
        <v>93.661055328352802</v>
      </c>
      <c r="D30" s="12">
        <f>SUM(D9:D29)</f>
        <v>140.4915829925292</v>
      </c>
      <c r="F30" s="12">
        <f>SUM(F9:F29)</f>
        <v>1873.2211065670563</v>
      </c>
      <c r="G30" s="12">
        <f>SUM(G9:G29)</f>
        <v>2809.8316598505835</v>
      </c>
      <c r="I30" s="12">
        <f>SUM(I9:I29)</f>
        <v>4683.0527664176398</v>
      </c>
      <c r="M30" s="12">
        <f t="shared" ref="M30:W30" si="7">SUM(M9:M29)</f>
        <v>24.783317194896075</v>
      </c>
      <c r="N30" s="12">
        <f t="shared" si="7"/>
        <v>104.15775542409848</v>
      </c>
      <c r="O30" s="12">
        <f t="shared" si="7"/>
        <v>194.9636333788014</v>
      </c>
      <c r="P30" s="12">
        <f t="shared" si="7"/>
        <v>8.0061098525080752</v>
      </c>
      <c r="Q30" s="12">
        <f t="shared" si="7"/>
        <v>137.97547377925386</v>
      </c>
      <c r="R30" s="12">
        <f t="shared" si="7"/>
        <v>87.730353567434619</v>
      </c>
      <c r="S30" s="12">
        <f t="shared" si="7"/>
        <v>1315.9553035115193</v>
      </c>
      <c r="U30" s="12">
        <f t="shared" si="7"/>
        <v>1873.5719467085121</v>
      </c>
      <c r="W30" s="12">
        <f t="shared" si="7"/>
        <v>4683.0527664176398</v>
      </c>
      <c r="AG30" s="12">
        <f>SUM(AG9:AG29)</f>
        <v>219.00000000000003</v>
      </c>
      <c r="AH30" s="12">
        <f>SUM(AH9:AH29)</f>
        <v>1873.5719467085121</v>
      </c>
      <c r="AI30" s="12">
        <f>SUM(AI9:AI29)</f>
        <v>0</v>
      </c>
      <c r="AK30" s="12">
        <f>SUM(AK9:AK29)</f>
        <v>2625.9707429424661</v>
      </c>
      <c r="AL30" s="12">
        <f>SUM(AL9:AL29)</f>
        <v>1050.3882971769867</v>
      </c>
      <c r="AM30" s="19" t="s">
        <v>82</v>
      </c>
      <c r="AO30" s="12">
        <f>SUM(AO8:AO29)</f>
        <v>4683.0527664176398</v>
      </c>
      <c r="AP30" s="12">
        <f>SUM(AP8:AP29)</f>
        <v>219</v>
      </c>
      <c r="AQ30" s="12">
        <f>SUM(AQ8:AQ29)</f>
        <v>1873.5719467085121</v>
      </c>
      <c r="AR30" s="12">
        <f>SUM(AR8:AR29)</f>
        <v>1050.3882971769867</v>
      </c>
      <c r="AS30" s="12">
        <f>SUM(AS8:AS29)</f>
        <v>1540.0925225321414</v>
      </c>
      <c r="AU30" s="15">
        <f>SUM(AU8:AU29)</f>
        <v>825.24822815922471</v>
      </c>
      <c r="AX30" s="16">
        <f>SUM(AX8:AX29)</f>
        <v>1.1022762750671766</v>
      </c>
      <c r="AZ30" s="12">
        <f t="shared" ref="AZ30:BE30" si="8">SUM(AZ8:AZ29)</f>
        <v>1540.0925225321414</v>
      </c>
      <c r="BA30" s="12">
        <f t="shared" si="8"/>
        <v>494.22707087600321</v>
      </c>
      <c r="BB30" s="12">
        <f t="shared" si="8"/>
        <v>204.97031595929172</v>
      </c>
      <c r="BC30" s="12">
        <f t="shared" si="8"/>
        <v>79.99219993043144</v>
      </c>
      <c r="BD30" s="12">
        <f t="shared" si="8"/>
        <v>11.481280850100811</v>
      </c>
      <c r="BE30" s="12">
        <f t="shared" si="8"/>
        <v>-31.590734366206512</v>
      </c>
    </row>
    <row r="31" spans="1:57" ht="12" customHeight="1" thickBot="1" x14ac:dyDescent="0.25"/>
    <row r="32" spans="1:57" ht="12" customHeight="1" thickBot="1" x14ac:dyDescent="0.25">
      <c r="AS32" s="75" t="s">
        <v>135</v>
      </c>
      <c r="AT32" s="76"/>
      <c r="AU32" s="80">
        <f>AU30</f>
        <v>825.24822815922471</v>
      </c>
      <c r="AV32" s="4" t="s">
        <v>138</v>
      </c>
    </row>
    <row r="33" spans="45:48" ht="12" customHeight="1" thickBot="1" x14ac:dyDescent="0.25">
      <c r="AS33" s="72" t="s">
        <v>133</v>
      </c>
      <c r="AT33" s="14"/>
      <c r="AU33" s="78">
        <f>IRR(AS8:AS28)</f>
        <v>0.84565702912404195</v>
      </c>
    </row>
    <row r="34" spans="45:48" ht="12" customHeight="1" thickBot="1" x14ac:dyDescent="0.25">
      <c r="AS34" s="75" t="s">
        <v>136</v>
      </c>
      <c r="AT34" s="76"/>
      <c r="AU34" s="77">
        <f>AX30</f>
        <v>1.1022762750671766</v>
      </c>
      <c r="AV34" s="4" t="s">
        <v>67</v>
      </c>
    </row>
    <row r="35" spans="45:48" ht="12" customHeight="1" thickBot="1" x14ac:dyDescent="0.25">
      <c r="AS35" s="73" t="s">
        <v>137</v>
      </c>
      <c r="AT35" s="74"/>
      <c r="AU35" s="79">
        <f>AU32/AP8</f>
        <v>3.7682567495855008</v>
      </c>
      <c r="AV35" s="4" t="s">
        <v>139</v>
      </c>
    </row>
  </sheetData>
  <phoneticPr fontId="0" type="noConversion"/>
  <pageMargins left="0.75" right="0.75" top="1" bottom="1" header="0.5" footer="0.5"/>
  <pageSetup paperSize="9" orientation="landscape" horizontalDpi="150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653F-3BAB-4B86-8689-E49E6855BFFD}">
  <dimension ref="A1:J27"/>
  <sheetViews>
    <sheetView workbookViewId="0">
      <selection activeCell="J15" sqref="J15"/>
    </sheetView>
  </sheetViews>
  <sheetFormatPr defaultColWidth="9.109375" defaultRowHeight="12" customHeight="1" x14ac:dyDescent="0.2"/>
  <cols>
    <col min="1" max="16384" width="9.109375" style="5"/>
  </cols>
  <sheetData>
    <row r="1" spans="1:10" ht="12" customHeight="1" x14ac:dyDescent="0.2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</row>
    <row r="3" spans="1:10" ht="12" customHeight="1" x14ac:dyDescent="0.2">
      <c r="G3" s="4"/>
    </row>
    <row r="4" spans="1:10" ht="12" customHeight="1" x14ac:dyDescent="0.2">
      <c r="G4" s="4"/>
    </row>
    <row r="5" spans="1:10" s="8" customFormat="1" ht="12" customHeight="1" x14ac:dyDescent="0.2">
      <c r="A5" s="8" t="str">
        <f>'Cash Flow'!AM4</f>
        <v>Years</v>
      </c>
      <c r="B5" s="8" t="s">
        <v>74</v>
      </c>
      <c r="C5" s="8" t="s">
        <v>75</v>
      </c>
      <c r="D5" s="8" t="s">
        <v>111</v>
      </c>
      <c r="E5" s="8" t="s">
        <v>102</v>
      </c>
      <c r="F5" s="8" t="s">
        <v>112</v>
      </c>
      <c r="G5" s="9" t="str">
        <f>'Cash Flow'!AU5</f>
        <v>NPV</v>
      </c>
      <c r="I5" s="8" t="s">
        <v>113</v>
      </c>
      <c r="J5" s="8" t="s">
        <v>103</v>
      </c>
    </row>
    <row r="6" spans="1:10" ht="12" customHeight="1" x14ac:dyDescent="0.2">
      <c r="A6" s="5">
        <f>'Cash Flow'!AM8</f>
        <v>0</v>
      </c>
      <c r="B6" s="4">
        <f>'Cash Flow'!AP8</f>
        <v>219</v>
      </c>
      <c r="C6" s="4">
        <f>'Cash Flow'!AQ8</f>
        <v>0</v>
      </c>
      <c r="D6" s="4">
        <f>'Cash Flow'!AR8</f>
        <v>0</v>
      </c>
      <c r="E6" s="4">
        <f>'Cash Flow'!AS8</f>
        <v>-219</v>
      </c>
      <c r="F6" s="4">
        <f>'Cash Flow'!AW8</f>
        <v>-219</v>
      </c>
      <c r="G6" s="4">
        <f>'Cash Flow'!AU8</f>
        <v>-219</v>
      </c>
      <c r="I6" s="17">
        <f>'Cash Flow'!AZ5</f>
        <v>0</v>
      </c>
      <c r="J6" s="12">
        <f>'Cash Flow'!AZ30</f>
        <v>-192.44565027505305</v>
      </c>
    </row>
    <row r="7" spans="1:10" ht="12" customHeight="1" x14ac:dyDescent="0.2">
      <c r="A7" s="5">
        <f>'Cash Flow'!AM9</f>
        <v>1</v>
      </c>
      <c r="B7" s="4"/>
      <c r="C7" s="4">
        <f>'Cash Flow'!AQ9</f>
        <v>46.482600000000005</v>
      </c>
      <c r="D7" s="4">
        <f>'Cash Flow'!AR9</f>
        <v>37.616960000000006</v>
      </c>
      <c r="E7" s="4">
        <f>'Cash Flow'!AS9</f>
        <v>78.32544</v>
      </c>
      <c r="F7" s="4">
        <f>'Cash Flow'!AW9</f>
        <v>-140.67455999999999</v>
      </c>
      <c r="G7" s="4">
        <f>'Cash Flow'!AU9</f>
        <v>71.204945454545452</v>
      </c>
      <c r="I7" s="17">
        <f>'Cash Flow'!BA5</f>
        <v>0.2</v>
      </c>
      <c r="J7" s="12">
        <f>'Cash Flow'!BA30</f>
        <v>4.6557518843102024</v>
      </c>
    </row>
    <row r="8" spans="1:10" ht="12" customHeight="1" x14ac:dyDescent="0.2">
      <c r="A8" s="5">
        <f>'Cash Flow'!AM10</f>
        <v>2</v>
      </c>
      <c r="B8" s="4"/>
      <c r="C8" s="4">
        <f>'Cash Flow'!AQ10</f>
        <v>49.619836000000006</v>
      </c>
      <c r="D8" s="4">
        <f>'Cash Flow'!AR10</f>
        <v>33.113565599999994</v>
      </c>
      <c r="E8" s="4">
        <f>'Cash Flow'!AS10</f>
        <v>71.570348399999972</v>
      </c>
      <c r="F8" s="4">
        <f>'Cash Flow'!AW10</f>
        <v>-69.104211600000014</v>
      </c>
      <c r="G8" s="4">
        <f>'Cash Flow'!AU10</f>
        <v>59.149048264462778</v>
      </c>
      <c r="I8" s="17">
        <f>'Cash Flow'!BB5</f>
        <v>0.4</v>
      </c>
      <c r="J8" s="12">
        <f>'Cash Flow'!BB30</f>
        <v>-65.694835910267685</v>
      </c>
    </row>
    <row r="9" spans="1:10" ht="12" customHeight="1" x14ac:dyDescent="0.2">
      <c r="A9" s="5">
        <f>'Cash Flow'!AM11</f>
        <v>3</v>
      </c>
      <c r="B9" s="4"/>
      <c r="C9" s="4">
        <f>'Cash Flow'!AQ11</f>
        <v>52.976337360000002</v>
      </c>
      <c r="D9" s="4">
        <f>'Cash Flow'!AR11</f>
        <v>28.684890055999997</v>
      </c>
      <c r="E9" s="4">
        <f>'Cash Flow'!AS11</f>
        <v>64.927335083999992</v>
      </c>
      <c r="F9" s="4">
        <f>'Cash Flow'!AW11</f>
        <v>-4.1768765160000214</v>
      </c>
      <c r="G9" s="4">
        <f>'Cash Flow'!AU11</f>
        <v>48.780867831705464</v>
      </c>
      <c r="I9" s="17">
        <f>'Cash Flow'!BC5</f>
        <v>0.6</v>
      </c>
      <c r="J9" s="12">
        <f>'Cash Flow'!BC30</f>
        <v>-107.08677898531252</v>
      </c>
    </row>
    <row r="10" spans="1:10" ht="12" customHeight="1" x14ac:dyDescent="0.2">
      <c r="A10" s="5">
        <f>'Cash Flow'!AM12</f>
        <v>4</v>
      </c>
      <c r="B10" s="4"/>
      <c r="C10" s="4">
        <f>'Cash Flow'!AQ12</f>
        <v>56.567804473600006</v>
      </c>
      <c r="D10" s="4">
        <f>'Cash Flow'!AR12</f>
        <v>24.316531960559988</v>
      </c>
      <c r="E10" s="4">
        <f>'Cash Flow'!AS12</f>
        <v>58.374797940839983</v>
      </c>
      <c r="F10" s="4">
        <f>'Cash Flow'!AW12</f>
        <v>54.197921424839961</v>
      </c>
      <c r="G10" s="4">
        <f>'Cash Flow'!AU12</f>
        <v>39.870772447810921</v>
      </c>
      <c r="I10" s="17">
        <f>'Cash Flow'!BD5</f>
        <v>0.8</v>
      </c>
      <c r="J10" s="12">
        <f>'Cash Flow'!BD30</f>
        <v>-131.52998660479699</v>
      </c>
    </row>
    <row r="11" spans="1:10" ht="12" customHeight="1" x14ac:dyDescent="0.2">
      <c r="A11" s="5">
        <f>'Cash Flow'!AM13</f>
        <v>5</v>
      </c>
      <c r="B11" s="4"/>
      <c r="C11" s="4">
        <f>'Cash Flow'!AQ13</f>
        <v>60.411089279136007</v>
      </c>
      <c r="D11" s="4">
        <f>'Cash Flow'!AR13</f>
        <v>19.994035350845596</v>
      </c>
      <c r="E11" s="4">
        <f>'Cash Flow'!AS13</f>
        <v>51.891053026268395</v>
      </c>
      <c r="F11" s="4">
        <f>'Cash Flow'!AW13</f>
        <v>106.08897445110836</v>
      </c>
      <c r="G11" s="4">
        <f>'Cash Flow'!AU13</f>
        <v>32.220261300003337</v>
      </c>
      <c r="I11" s="17">
        <f>'Cash Flow'!BE5</f>
        <v>1</v>
      </c>
      <c r="J11" s="12">
        <f>'Cash Flow'!BE30</f>
        <v>-147.35215617137112</v>
      </c>
    </row>
    <row r="12" spans="1:10" ht="12" customHeight="1" x14ac:dyDescent="0.2">
      <c r="A12" s="5">
        <f>'Cash Flow'!AM14</f>
        <v>6</v>
      </c>
      <c r="B12" s="4"/>
      <c r="C12" s="4">
        <f>'Cash Flow'!AQ14</f>
        <v>64.524282005803371</v>
      </c>
      <c r="D12" s="4">
        <f>'Cash Flow'!AR14</f>
        <v>15.70283470705364</v>
      </c>
      <c r="E12" s="4">
        <f>'Cash Flow'!AS14</f>
        <v>45.454252060580458</v>
      </c>
      <c r="F12" s="4">
        <f>'Cash Flow'!AW14</f>
        <v>151.54322651168883</v>
      </c>
      <c r="G12" s="4">
        <f>'Cash Flow'!AU14</f>
        <v>25.65774029829085</v>
      </c>
    </row>
    <row r="13" spans="1:10" ht="12" customHeight="1" x14ac:dyDescent="0.2">
      <c r="A13" s="5">
        <f>'Cash Flow'!AM15</f>
        <v>7</v>
      </c>
      <c r="B13" s="4"/>
      <c r="C13" s="4">
        <f>'Cash Flow'!AQ15</f>
        <v>68.926804653643131</v>
      </c>
      <c r="D13" s="4">
        <f>'Cash Flow'!AR15</f>
        <v>11.428198272448984</v>
      </c>
      <c r="E13" s="4">
        <f>'Cash Flow'!AS15</f>
        <v>39.042297408673477</v>
      </c>
      <c r="F13" s="4">
        <f>'Cash Flow'!AW15</f>
        <v>190.58552392036231</v>
      </c>
      <c r="G13" s="4">
        <f>'Cash Flow'!AU15</f>
        <v>20.034871869638469</v>
      </c>
    </row>
    <row r="14" spans="1:10" ht="12" customHeight="1" x14ac:dyDescent="0.2">
      <c r="A14" s="5">
        <f>'Cash Flow'!AM16</f>
        <v>8</v>
      </c>
      <c r="B14" s="4"/>
      <c r="C14" s="4">
        <f>'Cash Flow'!AQ16</f>
        <v>73.63951174757122</v>
      </c>
      <c r="D14" s="4">
        <f>'Cash Flow'!AR16</f>
        <v>7.1551694281824298</v>
      </c>
      <c r="E14" s="4">
        <f>'Cash Flow'!AS16</f>
        <v>32.63275414227364</v>
      </c>
      <c r="F14" s="4">
        <f>'Cash Flow'!AW16</f>
        <v>223.21827806263593</v>
      </c>
      <c r="G14" s="4">
        <f>'Cash Flow'!AU16</f>
        <v>15.223420643940393</v>
      </c>
    </row>
    <row r="15" spans="1:10" ht="12" customHeight="1" x14ac:dyDescent="0.2">
      <c r="A15" s="5">
        <f>'Cash Flow'!AM17</f>
        <v>9</v>
      </c>
      <c r="B15" s="4"/>
      <c r="C15" s="4">
        <f>'Cash Flow'!AQ17</f>
        <v>78.684798950472654</v>
      </c>
      <c r="D15" s="4">
        <f>'Cash Flow'!AR17</f>
        <v>2.8685058406613138</v>
      </c>
      <c r="E15" s="4">
        <f>'Cash Flow'!AS17</f>
        <v>26.202758760991969</v>
      </c>
      <c r="F15" s="4">
        <f>'Cash Flow'!AW17</f>
        <v>249.4210368236279</v>
      </c>
      <c r="G15" s="4">
        <f>'Cash Flow'!AU17</f>
        <v>11.11252758532545</v>
      </c>
    </row>
    <row r="16" spans="1:10" ht="12" customHeight="1" x14ac:dyDescent="0.2">
      <c r="A16" s="5">
        <f>'Cash Flow'!AM18</f>
        <v>10</v>
      </c>
      <c r="B16" s="4"/>
      <c r="C16" s="4">
        <f>'Cash Flow'!AQ18</f>
        <v>84.086720169074482</v>
      </c>
      <c r="D16" s="4">
        <f>'Cash Flow'!AR18</f>
        <v>0</v>
      </c>
      <c r="E16" s="4">
        <f>'Cash Flow'!AS18</f>
        <v>18.281540205445154</v>
      </c>
      <c r="F16" s="4">
        <f>'Cash Flow'!AW18</f>
        <v>267.70257702907304</v>
      </c>
      <c r="G16" s="4">
        <f>'Cash Flow'!AU18</f>
        <v>7.0483251466455572</v>
      </c>
    </row>
    <row r="17" spans="1:7" ht="12" customHeight="1" x14ac:dyDescent="0.2">
      <c r="A17" s="5">
        <f>'Cash Flow'!AM19</f>
        <v>11</v>
      </c>
      <c r="B17" s="4"/>
      <c r="C17" s="4">
        <f>'Cash Flow'!AQ19</f>
        <v>89.871113839195871</v>
      </c>
      <c r="D17" s="4">
        <f>'Cash Flow'!AR19</f>
        <v>2.951493406639111</v>
      </c>
      <c r="E17" s="4">
        <f>'Cash Flow'!AS19</f>
        <v>4.4272401099586656</v>
      </c>
      <c r="F17" s="4">
        <f>'Cash Flow'!AW19</f>
        <v>272.12981713903173</v>
      </c>
      <c r="G17" s="4">
        <f>'Cash Flow'!AU19</f>
        <v>1.5517206500798402</v>
      </c>
    </row>
    <row r="18" spans="1:7" ht="12" customHeight="1" x14ac:dyDescent="0.2">
      <c r="A18" s="5">
        <f>'Cash Flow'!AM20</f>
        <v>12</v>
      </c>
      <c r="B18" s="4"/>
      <c r="C18" s="4">
        <f>'Cash Flow'!AQ20</f>
        <v>96.065739134419545</v>
      </c>
      <c r="D18" s="4">
        <f>'Cash Flow'!AR20</f>
        <v>0</v>
      </c>
      <c r="E18" s="4">
        <f>'Cash Flow'!AS20</f>
        <v>-3.6783841464155813</v>
      </c>
      <c r="F18" s="4">
        <f>'Cash Flow'!AW20</f>
        <v>268.45143299261616</v>
      </c>
      <c r="G18" s="4">
        <f>'Cash Flow'!AU20</f>
        <v>-1.1720465484252085</v>
      </c>
    </row>
    <row r="19" spans="1:7" ht="12" customHeight="1" x14ac:dyDescent="0.2">
      <c r="A19" s="5">
        <f>'Cash Flow'!AM21</f>
        <v>13</v>
      </c>
      <c r="B19" s="4"/>
      <c r="C19" s="4">
        <f>'Cash Flow'!AQ21</f>
        <v>102.70042290464741</v>
      </c>
      <c r="D19" s="4">
        <f>'Cash Flow'!AR21</f>
        <v>0</v>
      </c>
      <c r="E19" s="4">
        <f>'Cash Flow'!AS21</f>
        <v>-14.932435666043631</v>
      </c>
      <c r="F19" s="4">
        <f>'Cash Flow'!AW21</f>
        <v>253.51899732657253</v>
      </c>
      <c r="G19" s="4">
        <f>'Cash Flow'!AU21</f>
        <v>-4.3253947151625223</v>
      </c>
    </row>
    <row r="20" spans="1:7" ht="12" customHeight="1" x14ac:dyDescent="0.2">
      <c r="A20" s="5">
        <f>'Cash Flow'!AM22</f>
        <v>14</v>
      </c>
      <c r="B20" s="4"/>
      <c r="C20" s="4">
        <f>'Cash Flow'!AQ22</f>
        <v>109.80721821883162</v>
      </c>
      <c r="D20" s="4">
        <f>'Cash Flow'!AR22</f>
        <v>0</v>
      </c>
      <c r="E20" s="4">
        <f>'Cash Flow'!AS22</f>
        <v>-26.427630342158054</v>
      </c>
      <c r="F20" s="4">
        <f>'Cash Flow'!AW22</f>
        <v>227.09136698441449</v>
      </c>
      <c r="G20" s="4">
        <f>'Cash Flow'!AU22</f>
        <v>-6.9592210463378912</v>
      </c>
    </row>
    <row r="21" spans="1:7" ht="12" customHeight="1" x14ac:dyDescent="0.2">
      <c r="A21" s="5">
        <f>'Cash Flow'!AM23</f>
        <v>15</v>
      </c>
      <c r="B21" s="4"/>
      <c r="C21" s="4">
        <f>'Cash Flow'!AQ23</f>
        <v>117.42057545990087</v>
      </c>
      <c r="D21" s="4">
        <f>'Cash Flow'!AR23</f>
        <v>0</v>
      </c>
      <c r="E21" s="4">
        <f>'Cash Flow'!AS23</f>
        <v>-38.209966977060986</v>
      </c>
      <c r="F21" s="4">
        <f>'Cash Flow'!AW23</f>
        <v>188.88140000735351</v>
      </c>
      <c r="G21" s="4">
        <f>'Cash Flow'!AU23</f>
        <v>-9.147162300966686</v>
      </c>
    </row>
    <row r="22" spans="1:7" ht="12" customHeight="1" x14ac:dyDescent="0.2">
      <c r="A22" s="5">
        <f>'Cash Flow'!AM24</f>
        <v>16</v>
      </c>
      <c r="B22" s="4"/>
      <c r="C22" s="4">
        <f>'Cash Flow'!AQ24</f>
        <v>125.57752700005267</v>
      </c>
      <c r="D22" s="4">
        <f>'Cash Flow'!AR24</f>
        <v>0</v>
      </c>
      <c r="E22" s="4">
        <f>'Cash Flow'!AS24</f>
        <v>-50.327448941354774</v>
      </c>
      <c r="F22" s="4">
        <f>'Cash Flow'!AW24</f>
        <v>138.55395106599872</v>
      </c>
      <c r="G22" s="4">
        <f>'Cash Flow'!AU24</f>
        <v>-10.952719219629865</v>
      </c>
    </row>
    <row r="23" spans="1:7" ht="12" customHeight="1" x14ac:dyDescent="0.2">
      <c r="A23" s="5">
        <f>'Cash Flow'!AM25</f>
        <v>17</v>
      </c>
      <c r="B23" s="4"/>
      <c r="C23" s="4">
        <f>'Cash Flow'!AQ25</f>
        <v>134.31788657173794</v>
      </c>
      <c r="D23" s="4">
        <f>'Cash Flow'!AR25</f>
        <v>0</v>
      </c>
      <c r="E23" s="4">
        <f>'Cash Flow'!AS25</f>
        <v>-62.830312415974944</v>
      </c>
      <c r="F23" s="4">
        <f>'Cash Flow'!AW25</f>
        <v>75.723638650023773</v>
      </c>
      <c r="G23" s="4">
        <f>'Cash Flow'!AU25</f>
        <v>-12.430642356830607</v>
      </c>
    </row>
    <row r="24" spans="1:7" ht="12" customHeight="1" x14ac:dyDescent="0.2">
      <c r="A24" s="5">
        <f>'Cash Flow'!AM26</f>
        <v>18</v>
      </c>
      <c r="B24" s="4"/>
      <c r="C24" s="4">
        <f>'Cash Flow'!AQ26</f>
        <v>143.68446454444995</v>
      </c>
      <c r="D24" s="4">
        <f>'Cash Flow'!AR26</f>
        <v>0</v>
      </c>
      <c r="E24" s="4">
        <f>'Cash Flow'!AS26</f>
        <v>-75.771269096475109</v>
      </c>
      <c r="F24" s="4">
        <f>'Cash Flow'!AW26</f>
        <v>-4.7630446451336184E-2</v>
      </c>
      <c r="G24" s="4">
        <f>'Cash Flow'!AU26</f>
        <v>-13.62812876957741</v>
      </c>
    </row>
    <row r="25" spans="1:7" ht="12" customHeight="1" x14ac:dyDescent="0.2">
      <c r="A25" s="5">
        <f>'Cash Flow'!AM27</f>
        <v>19</v>
      </c>
      <c r="B25" s="4"/>
      <c r="C25" s="4">
        <f>'Cash Flow'!AQ27</f>
        <v>153.72330042053716</v>
      </c>
      <c r="D25" s="4">
        <f>'Cash Flow'!AR27</f>
        <v>0</v>
      </c>
      <c r="E25" s="4">
        <f>'Cash Flow'!AS27</f>
        <v>-89.205764744961058</v>
      </c>
      <c r="F25" s="4">
        <f>'Cash Flow'!AW27</f>
        <v>-89.253395191412395</v>
      </c>
      <c r="G25" s="4">
        <f>'Cash Flow'!AU27</f>
        <v>-14.585855363595169</v>
      </c>
    </row>
    <row r="26" spans="1:7" ht="12" customHeight="1" x14ac:dyDescent="0.2">
      <c r="A26" s="5">
        <f>'Cash Flow'!AM28</f>
        <v>20</v>
      </c>
      <c r="B26" s="4"/>
      <c r="C26" s="4">
        <f>'Cash Flow'!AQ28</f>
        <v>164.48391397543796</v>
      </c>
      <c r="D26" s="4">
        <f>'Cash Flow'!AR28</f>
        <v>0</v>
      </c>
      <c r="E26" s="4">
        <f>'Cash Flow'!AS28</f>
        <v>-103.19225508364066</v>
      </c>
      <c r="F26" s="4">
        <f>'Cash Flow'!AW28</f>
        <v>-192.44565027505305</v>
      </c>
      <c r="G26" s="4">
        <f>'Cash Flow'!AU28</f>
        <v>-15.338871179625212</v>
      </c>
    </row>
    <row r="27" spans="1:7" ht="12" customHeight="1" x14ac:dyDescent="0.2">
      <c r="F27" s="4"/>
      <c r="G27" s="4"/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F8ED-72BB-4DB7-BF8A-FED7368FC1E2}">
  <dimension ref="A1:O38"/>
  <sheetViews>
    <sheetView tabSelected="1" topLeftCell="A21" zoomScale="95" workbookViewId="0">
      <selection activeCell="E6" sqref="E6"/>
    </sheetView>
  </sheetViews>
  <sheetFormatPr defaultColWidth="9.109375" defaultRowHeight="15.6" x14ac:dyDescent="0.3"/>
  <cols>
    <col min="1" max="1" width="19.77734375" style="65" customWidth="1"/>
    <col min="2" max="2" width="17.5546875" style="65" bestFit="1" customWidth="1"/>
    <col min="3" max="3" width="9.5546875" style="65" bestFit="1" customWidth="1"/>
    <col min="4" max="5" width="9.21875" style="65" bestFit="1" customWidth="1"/>
    <col min="6" max="6" width="10.44140625" style="65" bestFit="1" customWidth="1"/>
    <col min="7" max="10" width="9.21875" style="65" bestFit="1" customWidth="1"/>
    <col min="11" max="16384" width="9.109375" style="65"/>
  </cols>
  <sheetData>
    <row r="1" spans="1:6" x14ac:dyDescent="0.3">
      <c r="A1" s="65" t="s">
        <v>114</v>
      </c>
    </row>
    <row r="4" spans="1:6" x14ac:dyDescent="0.3">
      <c r="A4" s="65" t="s">
        <v>103</v>
      </c>
    </row>
    <row r="5" spans="1:6" x14ac:dyDescent="0.3">
      <c r="B5" s="66">
        <v>-0.5</v>
      </c>
      <c r="C5" s="66">
        <f>'Input&amp;Output'!C53/100</f>
        <v>-0.1</v>
      </c>
      <c r="D5" s="66">
        <v>0</v>
      </c>
      <c r="E5" s="66">
        <f>'Input&amp;Output'!E53/100</f>
        <v>0.1</v>
      </c>
      <c r="F5" s="66">
        <v>0.5</v>
      </c>
    </row>
    <row r="6" spans="1:6" x14ac:dyDescent="0.3">
      <c r="A6" s="65" t="s">
        <v>115</v>
      </c>
      <c r="B6" s="67">
        <f>'Prod.=0.5'!AU30</f>
        <v>107.72689985749345</v>
      </c>
      <c r="C6" s="67">
        <f>'Prod.=min'!AU30</f>
        <v>684.80536887124595</v>
      </c>
      <c r="D6" s="68">
        <f>'Cash Flow'!AU30</f>
        <v>24.314459992297945</v>
      </c>
      <c r="E6" s="67">
        <f>'Prod.=max'!AU30</f>
        <v>107.72689985749345</v>
      </c>
      <c r="F6" s="67">
        <f>'Prod.=1.5'!AU30</f>
        <v>1518.5110816769943</v>
      </c>
    </row>
    <row r="7" spans="1:6" x14ac:dyDescent="0.3">
      <c r="B7" s="67"/>
      <c r="C7" s="67"/>
      <c r="D7" s="68"/>
      <c r="E7" s="68"/>
      <c r="F7" s="67"/>
    </row>
    <row r="8" spans="1:6" x14ac:dyDescent="0.3">
      <c r="B8" s="67"/>
      <c r="C8" s="67"/>
      <c r="D8" s="68"/>
      <c r="E8" s="68"/>
      <c r="F8" s="67"/>
    </row>
    <row r="9" spans="1:6" x14ac:dyDescent="0.3">
      <c r="B9" s="66">
        <v>-0.5</v>
      </c>
      <c r="C9" s="66">
        <f>'Input&amp;Output'!C56/100</f>
        <v>-0.25</v>
      </c>
      <c r="D9" s="66">
        <v>0</v>
      </c>
      <c r="E9" s="66">
        <f>'Input&amp;Output'!E56/100</f>
        <v>0.3</v>
      </c>
      <c r="F9" s="66">
        <v>0.5</v>
      </c>
    </row>
    <row r="10" spans="1:6" x14ac:dyDescent="0.3">
      <c r="A10" s="65" t="s">
        <v>116</v>
      </c>
      <c r="B10" s="67">
        <f>'Price=0.5'!AU30</f>
        <v>825.24822815922471</v>
      </c>
      <c r="C10" s="67">
        <f>'Price=min'!AU30</f>
        <v>825.24822815922471</v>
      </c>
      <c r="D10" s="68">
        <f>D6</f>
        <v>24.314459992297945</v>
      </c>
      <c r="E10" s="67">
        <f>'Price=max'!AU30</f>
        <v>825.24822815922471</v>
      </c>
      <c r="F10" s="67">
        <f>'Price=1.5'!AU30</f>
        <v>825.24822815922471</v>
      </c>
    </row>
    <row r="11" spans="1:6" x14ac:dyDescent="0.3">
      <c r="B11" s="67"/>
      <c r="C11" s="67"/>
      <c r="D11" s="68"/>
      <c r="E11" s="68"/>
      <c r="F11" s="67"/>
    </row>
    <row r="12" spans="1:6" x14ac:dyDescent="0.3">
      <c r="B12" s="67"/>
      <c r="C12" s="67"/>
      <c r="D12" s="68"/>
      <c r="E12" s="68"/>
      <c r="F12" s="67"/>
    </row>
    <row r="13" spans="1:6" x14ac:dyDescent="0.3">
      <c r="B13" s="66">
        <v>-0.5</v>
      </c>
      <c r="C13" s="66">
        <f>'Input&amp;Output'!C54/100</f>
        <v>-0.3</v>
      </c>
      <c r="D13" s="66">
        <v>0</v>
      </c>
      <c r="E13" s="66">
        <f>'Input&amp;Output'!E54/100</f>
        <v>0.2</v>
      </c>
      <c r="F13" s="66">
        <v>0.5</v>
      </c>
    </row>
    <row r="14" spans="1:6" x14ac:dyDescent="0.3">
      <c r="A14" s="65" t="s">
        <v>101</v>
      </c>
      <c r="B14" s="67">
        <f>'Capex=0.5'!AU30</f>
        <v>825.24822815922471</v>
      </c>
      <c r="C14" s="67">
        <f>'Capex=min'!AU30</f>
        <v>825.24822815922471</v>
      </c>
      <c r="D14" s="68">
        <f>D6</f>
        <v>24.314459992297945</v>
      </c>
      <c r="E14" s="67">
        <f>'Capex=max'!AU30</f>
        <v>825.24822815922471</v>
      </c>
      <c r="F14" s="67">
        <f>'Capex=1.5'!AU30</f>
        <v>825.24822815922471</v>
      </c>
    </row>
    <row r="15" spans="1:6" x14ac:dyDescent="0.3">
      <c r="B15" s="67"/>
      <c r="C15" s="67"/>
      <c r="D15" s="68"/>
      <c r="E15" s="68"/>
      <c r="F15" s="67"/>
    </row>
    <row r="16" spans="1:6" x14ac:dyDescent="0.3">
      <c r="B16" s="67"/>
      <c r="C16" s="67"/>
      <c r="D16" s="68"/>
      <c r="E16" s="68"/>
      <c r="F16" s="67"/>
    </row>
    <row r="17" spans="1:10" x14ac:dyDescent="0.3">
      <c r="B17" s="66">
        <v>-0.5</v>
      </c>
      <c r="C17" s="66">
        <f>'Input&amp;Output'!C55/100</f>
        <v>-0.2</v>
      </c>
      <c r="D17" s="66">
        <v>0</v>
      </c>
      <c r="E17" s="66">
        <f>'Input&amp;Output'!E55/100</f>
        <v>0.4</v>
      </c>
      <c r="F17" s="66">
        <v>0.5</v>
      </c>
    </row>
    <row r="18" spans="1:10" x14ac:dyDescent="0.3">
      <c r="A18" s="65" t="s">
        <v>96</v>
      </c>
      <c r="B18" s="67">
        <f>'Opex=0.5'!AU30</f>
        <v>825.24822815922471</v>
      </c>
      <c r="C18" s="67">
        <f>'Opex=min'!AU30</f>
        <v>825.24822815922471</v>
      </c>
      <c r="D18" s="68">
        <f>D6</f>
        <v>24.314459992297945</v>
      </c>
      <c r="E18" s="67">
        <f>'Opex=max'!AU30</f>
        <v>-609.04530380416463</v>
      </c>
      <c r="F18" s="67">
        <f>'Opex=1.5'!AU30</f>
        <v>825.24822815922471</v>
      </c>
    </row>
    <row r="21" spans="1:10" x14ac:dyDescent="0.3">
      <c r="A21" s="65" t="s">
        <v>132</v>
      </c>
    </row>
    <row r="23" spans="1:10" x14ac:dyDescent="0.3">
      <c r="B23" s="66">
        <f>C5</f>
        <v>-0.1</v>
      </c>
      <c r="C23" s="66">
        <f>C9</f>
        <v>-0.25</v>
      </c>
      <c r="D23" s="66">
        <f>C13</f>
        <v>-0.3</v>
      </c>
      <c r="E23" s="66">
        <f>C17</f>
        <v>-0.2</v>
      </c>
      <c r="F23" s="66">
        <f>E5</f>
        <v>0.1</v>
      </c>
      <c r="G23" s="66">
        <f>E9</f>
        <v>0.3</v>
      </c>
      <c r="H23" s="66">
        <f>E13</f>
        <v>0.2</v>
      </c>
      <c r="I23" s="66">
        <f>E17</f>
        <v>0.4</v>
      </c>
      <c r="J23" s="66">
        <f>B23</f>
        <v>-0.1</v>
      </c>
    </row>
    <row r="24" spans="1:10" s="68" customFormat="1" x14ac:dyDescent="0.3">
      <c r="B24" s="68">
        <f>C6</f>
        <v>684.80536887124595</v>
      </c>
      <c r="C24" s="68">
        <f>C10</f>
        <v>825.24822815922471</v>
      </c>
      <c r="D24" s="68">
        <f>C14</f>
        <v>825.24822815922471</v>
      </c>
      <c r="E24" s="68">
        <f>C18</f>
        <v>825.24822815922471</v>
      </c>
      <c r="F24" s="68">
        <f>E6</f>
        <v>107.72689985749345</v>
      </c>
      <c r="G24" s="68">
        <f>E10</f>
        <v>825.24822815922471</v>
      </c>
      <c r="H24" s="68">
        <f>E14</f>
        <v>825.24822815922471</v>
      </c>
      <c r="I24" s="68">
        <f>E18</f>
        <v>-609.04530380416463</v>
      </c>
      <c r="J24" s="68">
        <f>B24</f>
        <v>684.80536887124595</v>
      </c>
    </row>
    <row r="26" spans="1:10" x14ac:dyDescent="0.3">
      <c r="B26" s="65">
        <f>RANK(B24,$B24:$E24)</f>
        <v>4</v>
      </c>
      <c r="C26" s="65">
        <f>RANK(C24,$B24:$E24)</f>
        <v>1</v>
      </c>
      <c r="D26" s="65">
        <f>RANK(D24,$B24:$E24)</f>
        <v>1</v>
      </c>
      <c r="E26" s="65">
        <f>RANK(E24,$B24:$E24)</f>
        <v>1</v>
      </c>
      <c r="F26" s="65">
        <f>RANK(F24,$F24:$I24)</f>
        <v>3</v>
      </c>
      <c r="G26" s="65">
        <f>RANK(G24,$F24:$I24)</f>
        <v>1</v>
      </c>
      <c r="H26" s="65">
        <f>RANK(H24,$F24:$I24)</f>
        <v>1</v>
      </c>
      <c r="I26" s="65">
        <f>RANK(I24,$F24:$I24)</f>
        <v>4</v>
      </c>
    </row>
    <row r="27" spans="1:10" x14ac:dyDescent="0.3">
      <c r="B27" s="65">
        <v>4</v>
      </c>
      <c r="C27" s="65">
        <v>3</v>
      </c>
      <c r="D27" s="65">
        <v>2</v>
      </c>
      <c r="E27" s="65">
        <v>1</v>
      </c>
      <c r="F27" s="65">
        <v>1</v>
      </c>
      <c r="G27" s="65">
        <v>2</v>
      </c>
      <c r="H27" s="65">
        <v>3</v>
      </c>
      <c r="I27" s="65">
        <v>4</v>
      </c>
    </row>
    <row r="28" spans="1:10" s="66" customFormat="1" x14ac:dyDescent="0.3">
      <c r="B28" s="66">
        <f>IF($B26=B27,$B23,IF($C26=B27,$C23,IF($D26=B27,$D23,$E23)))</f>
        <v>-0.1</v>
      </c>
      <c r="C28" s="66">
        <f>IF($B26=C27,$B23,IF($C26=C27,$C23,IF($D26=C27,$D23,$E23)))</f>
        <v>-0.2</v>
      </c>
      <c r="D28" s="66">
        <f>IF($B26=D27,$B23,IF($C26=D27,$C23,IF($D26=D27,$D23,$E23)))</f>
        <v>-0.2</v>
      </c>
      <c r="E28" s="66">
        <f>IF($B26=E27,$B23,IF($C26=E27,$C23,IF($D26=E27,$D23,$E23)))</f>
        <v>-0.25</v>
      </c>
      <c r="F28" s="70">
        <f>IF($F26=F27,$F23,IF($G26=F27,$G23,IF($H26=F27,$H23,$I23)))</f>
        <v>0.3</v>
      </c>
      <c r="G28" s="70">
        <f>IF($F26=G27,$F23,IF($G26=G27,$G23,IF($H26=G27,$H23,$I23)))</f>
        <v>0.4</v>
      </c>
      <c r="H28" s="70">
        <f>IF($F26=H27,$F23,IF($G26=H27,$G23,IF($H26=H27,$H23,$I23)))</f>
        <v>0.1</v>
      </c>
      <c r="I28" s="70">
        <f>IF($F26=I27,$F23,IF($G26=I27,$G23,IF($H26=I27,$H23,$I23)))</f>
        <v>0.4</v>
      </c>
      <c r="J28" s="66">
        <f>B28</f>
        <v>-0.1</v>
      </c>
    </row>
    <row r="29" spans="1:10" s="68" customFormat="1" x14ac:dyDescent="0.3">
      <c r="B29" s="68">
        <f>IF($B26=B27,$B24,IF($C26=B27,$C24,IF($D26=B27,$D24,$E24)))</f>
        <v>684.80536887124595</v>
      </c>
      <c r="C29" s="68">
        <f>IF($B26=C27,$B24,IF($C26=C27,$C24,IF($D26=C27,$D24,$E24)))</f>
        <v>825.24822815922471</v>
      </c>
      <c r="D29" s="68">
        <f>IF($B26=D27,$B24,IF($C26=D27,$C24,IF($D26=D27,$D24,$E24)))</f>
        <v>825.24822815922471</v>
      </c>
      <c r="E29" s="68">
        <f>IF($B26=E27,$B24,IF($C26=E27,$C24,IF($D26=E27,$D24,$E24)))</f>
        <v>825.24822815922471</v>
      </c>
      <c r="F29" s="71">
        <f>IF($F26=F27,$F24,IF($G26=F27,$G24,IF($H26=F27,$H24,$I24)))</f>
        <v>825.24822815922471</v>
      </c>
      <c r="G29" s="71">
        <f>IF($F26=G27,$F24,IF($G26=G27,$G24,IF($H26=G27,$H24,$I24)))</f>
        <v>-609.04530380416463</v>
      </c>
      <c r="H29" s="71">
        <f>IF($F26=H27,$F24,IF($G26=H27,$G24,IF($H26=H27,$H24,$I24)))</f>
        <v>107.72689985749345</v>
      </c>
      <c r="I29" s="71">
        <f>IF($F26=I27,$F24,IF($G26=I27,$G24,IF($H26=I27,$H24,$I24)))</f>
        <v>-609.04530380416463</v>
      </c>
      <c r="J29" s="68">
        <f>B29</f>
        <v>684.80536887124595</v>
      </c>
    </row>
    <row r="33" spans="1:15" x14ac:dyDescent="0.3">
      <c r="G33" s="65" t="s">
        <v>117</v>
      </c>
      <c r="H33" s="65" t="s">
        <v>118</v>
      </c>
      <c r="I33" s="65" t="s">
        <v>119</v>
      </c>
    </row>
    <row r="34" spans="1:15" x14ac:dyDescent="0.3">
      <c r="D34" s="65" t="s">
        <v>119</v>
      </c>
      <c r="E34" s="65" t="s">
        <v>120</v>
      </c>
      <c r="F34" s="65" t="s">
        <v>121</v>
      </c>
      <c r="G34" s="65" t="s">
        <v>122</v>
      </c>
      <c r="H34" s="65" t="s">
        <v>127</v>
      </c>
      <c r="I34" s="65" t="s">
        <v>128</v>
      </c>
      <c r="J34" s="65" t="s">
        <v>117</v>
      </c>
      <c r="K34" s="65" t="s">
        <v>118</v>
      </c>
      <c r="L34" s="65" t="s">
        <v>123</v>
      </c>
      <c r="M34" s="65" t="s">
        <v>124</v>
      </c>
      <c r="N34" s="65" t="s">
        <v>125</v>
      </c>
      <c r="O34" s="65" t="s">
        <v>126</v>
      </c>
    </row>
    <row r="35" spans="1:15" x14ac:dyDescent="0.3">
      <c r="A35" s="65" t="str">
        <f>A6</f>
        <v>Production Rate</v>
      </c>
      <c r="B35" s="68">
        <f>C6</f>
        <v>684.80536887124595</v>
      </c>
      <c r="C35" s="68">
        <f>E6</f>
        <v>107.72689985749345</v>
      </c>
      <c r="D35" s="65">
        <f>ABS(C35-B35)</f>
        <v>577.07846901375251</v>
      </c>
      <c r="E35" s="65">
        <f>IF(B35&lt;C35,B35,C35)</f>
        <v>107.72689985749345</v>
      </c>
      <c r="F35" s="65">
        <f>IF(B35&lt;C35,C35,B35)</f>
        <v>684.80536887124595</v>
      </c>
      <c r="G35" s="65">
        <f>RANK(D35,D$35:D$38)</f>
        <v>2</v>
      </c>
      <c r="H35" s="65">
        <v>4</v>
      </c>
      <c r="I35" s="65" t="str">
        <f>IF($G$35=$H35,A$35,IF($G$36=$H35,A$36,IF($G$37=$H35,A$37,A$38)))</f>
        <v>Opex</v>
      </c>
      <c r="J35" s="68">
        <f>IF(AND(E35&lt;0,F35&lt;0),F35,IF(AND(E35&gt;0,F35&gt;0),E35,0))</f>
        <v>107.72689985749345</v>
      </c>
      <c r="K35" s="65">
        <f>IF(J35=0,E35,0)</f>
        <v>0</v>
      </c>
      <c r="L35" s="65">
        <f>IF(J35=0,F35,IF(J35&gt;0,D35,-D35))</f>
        <v>577.07846901375251</v>
      </c>
      <c r="M35" s="65">
        <f>IF($G$35=$H35,J$35,IF($G$36=$H35,J$36,IF($G$37=$H35,J$37,J$38)))</f>
        <v>0</v>
      </c>
      <c r="N35" s="65">
        <f t="shared" ref="N35:O38" si="0">IF($G$35=$H35,K$35,IF($G$36=$H35,K$36,IF($G$37=$H35,K$37,K$38)))</f>
        <v>-609.04530380416463</v>
      </c>
      <c r="O35" s="65">
        <f t="shared" si="0"/>
        <v>825.24822815922471</v>
      </c>
    </row>
    <row r="36" spans="1:15" x14ac:dyDescent="0.3">
      <c r="A36" s="65" t="str">
        <f>A10</f>
        <v>Crude Price</v>
      </c>
      <c r="B36" s="68">
        <f>C10</f>
        <v>825.24822815922471</v>
      </c>
      <c r="C36" s="68">
        <f>E10</f>
        <v>825.24822815922471</v>
      </c>
      <c r="D36" s="65">
        <f>ABS(C36-B36)</f>
        <v>0</v>
      </c>
      <c r="E36" s="65">
        <f>IF(B36&lt;C36,B36,C36)</f>
        <v>825.24822815922471</v>
      </c>
      <c r="F36" s="65">
        <f>IF(B36&lt;C36,C36,B36)</f>
        <v>825.24822815922471</v>
      </c>
      <c r="G36" s="65">
        <f>RANK(D36,D$35:D$38)</f>
        <v>3</v>
      </c>
      <c r="H36" s="65">
        <v>3</v>
      </c>
      <c r="I36" s="65" t="str">
        <f>IF($G$35=$H36,A$35,IF($G$36=$H36,A$36,IF($G$37=$H36,A$37,A$38)))</f>
        <v>Crude Price</v>
      </c>
      <c r="J36" s="68">
        <f>IF(AND(E36&lt;0,F36&lt;0),F36,IF(AND(E36&gt;0,F36&gt;0),E36,0))</f>
        <v>825.24822815922471</v>
      </c>
      <c r="K36" s="65">
        <f>IF(J36=0,E36,0)</f>
        <v>0</v>
      </c>
      <c r="L36" s="65">
        <f>IF(J36=0,F36,IF(J36&gt;0,D36,-D36))</f>
        <v>0</v>
      </c>
      <c r="M36" s="65">
        <f>IF($G$35=$H36,J$35,IF($G$36=$H36,J$36,IF($G$37=$H36,J$37,J$38)))</f>
        <v>825.24822815922471</v>
      </c>
      <c r="N36" s="65">
        <f t="shared" si="0"/>
        <v>0</v>
      </c>
      <c r="O36" s="65">
        <f t="shared" si="0"/>
        <v>0</v>
      </c>
    </row>
    <row r="37" spans="1:15" x14ac:dyDescent="0.3">
      <c r="A37" s="65" t="str">
        <f>A14</f>
        <v>Capex</v>
      </c>
      <c r="B37" s="68">
        <f>C14</f>
        <v>825.24822815922471</v>
      </c>
      <c r="C37" s="68">
        <f>E14</f>
        <v>825.24822815922471</v>
      </c>
      <c r="D37" s="65">
        <f>ABS(C37-B37)</f>
        <v>0</v>
      </c>
      <c r="E37" s="65">
        <f>IF(B37&lt;C37,B37,C37)</f>
        <v>825.24822815922471</v>
      </c>
      <c r="F37" s="65">
        <f>IF(B37&lt;C37,C37,B37)</f>
        <v>825.24822815922471</v>
      </c>
      <c r="G37" s="65">
        <f>RANK(D37,D$35:D$38)</f>
        <v>3</v>
      </c>
      <c r="H37" s="65">
        <v>2</v>
      </c>
      <c r="I37" s="65" t="str">
        <f>IF($G$35=$H37,A$35,IF($G$36=$H37,A$36,IF($G$37=$H37,A$37,A$38)))</f>
        <v>Production Rate</v>
      </c>
      <c r="J37" s="68">
        <f>IF(AND(E37&lt;0,F37&lt;0),F37,IF(AND(E37&gt;0,F37&gt;0),E37,0))</f>
        <v>825.24822815922471</v>
      </c>
      <c r="K37" s="65">
        <f>IF(J37=0,E37,0)</f>
        <v>0</v>
      </c>
      <c r="L37" s="65">
        <f>IF(J37=0,F37,IF(J37&gt;0,D37,-D37))</f>
        <v>0</v>
      </c>
      <c r="M37" s="65">
        <f>IF($G$35=$H37,J$35,IF($G$36=$H37,J$36,IF($G$37=$H37,J$37,J$38)))</f>
        <v>107.72689985749345</v>
      </c>
      <c r="N37" s="65">
        <f t="shared" si="0"/>
        <v>0</v>
      </c>
      <c r="O37" s="65">
        <f t="shared" si="0"/>
        <v>577.07846901375251</v>
      </c>
    </row>
    <row r="38" spans="1:15" ht="15" customHeight="1" x14ac:dyDescent="0.3">
      <c r="A38" s="65" t="str">
        <f>A18</f>
        <v>Opex</v>
      </c>
      <c r="B38" s="68">
        <f>C18</f>
        <v>825.24822815922471</v>
      </c>
      <c r="C38" s="68">
        <f>E18</f>
        <v>-609.04530380416463</v>
      </c>
      <c r="D38" s="65">
        <f>ABS(C38-B38)</f>
        <v>1434.2935319633893</v>
      </c>
      <c r="E38" s="65">
        <f>IF(B38&lt;C38,B38,C38)</f>
        <v>-609.04530380416463</v>
      </c>
      <c r="F38" s="65">
        <f>IF(B38&lt;C38,C38,B38)</f>
        <v>825.24822815922471</v>
      </c>
      <c r="G38" s="65">
        <f>RANK(D38,D$35:D$38)</f>
        <v>1</v>
      </c>
      <c r="H38" s="65">
        <v>1</v>
      </c>
      <c r="I38" s="65" t="str">
        <f>IF($G$35=$H38,A$35,IF($G$36=$H38,A$36,IF($G$37=$H38,A$37,A$38)))</f>
        <v>Opex</v>
      </c>
      <c r="J38" s="68">
        <f>IF(AND(E38&lt;0,F38&lt;0),F38,IF(AND(E38&gt;0,F38&gt;0),E38,0))</f>
        <v>0</v>
      </c>
      <c r="K38" s="65">
        <f>IF(J38=0,E38,0)</f>
        <v>-609.04530380416463</v>
      </c>
      <c r="L38" s="65">
        <f>IF(J38=0,F38,IF(J38&gt;0,D38,-D38))</f>
        <v>825.24822815922471</v>
      </c>
      <c r="M38" s="65">
        <f>IF($G$35=$H38,J$35,IF($G$36=$H38,J$36,IF($G$37=$H38,J$37,J$38)))</f>
        <v>0</v>
      </c>
      <c r="N38" s="65">
        <f t="shared" si="0"/>
        <v>-609.04530380416463</v>
      </c>
      <c r="O38" s="65">
        <f t="shared" si="0"/>
        <v>825.24822815922471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Charts</vt:lpstr>
      </vt:variant>
      <vt:variant>
        <vt:i4>5</vt:i4>
      </vt:variant>
    </vt:vector>
  </HeadingPairs>
  <TitlesOfParts>
    <vt:vector size="25" baseType="lpstr">
      <vt:lpstr>Input&amp;Output</vt:lpstr>
      <vt:lpstr>Cash Flow</vt:lpstr>
      <vt:lpstr>Prod.=0.5</vt:lpstr>
      <vt:lpstr>Prod.=max</vt:lpstr>
      <vt:lpstr>Prod.=min</vt:lpstr>
      <vt:lpstr>Prod.=1.5</vt:lpstr>
      <vt:lpstr>Price=0.5</vt:lpstr>
      <vt:lpstr>Price=min</vt:lpstr>
      <vt:lpstr>Price=max</vt:lpstr>
      <vt:lpstr>Price=1.5</vt:lpstr>
      <vt:lpstr>Capex=max</vt:lpstr>
      <vt:lpstr>Capex=0.5</vt:lpstr>
      <vt:lpstr>Capex=min</vt:lpstr>
      <vt:lpstr>Capex=1.5</vt:lpstr>
      <vt:lpstr>Opex=0.5</vt:lpstr>
      <vt:lpstr>Opex=min</vt:lpstr>
      <vt:lpstr>Opex=max</vt:lpstr>
      <vt:lpstr>Opex=1.5</vt:lpstr>
      <vt:lpstr>Tables</vt:lpstr>
      <vt:lpstr>Sensitivity</vt:lpstr>
      <vt:lpstr>NCF</vt:lpstr>
      <vt:lpstr>IRR%</vt:lpstr>
      <vt:lpstr>Payout</vt:lpstr>
      <vt:lpstr>Spider</vt:lpstr>
      <vt:lpstr>Tornado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Economic Evaluation of Petroleum Projects</dc:title>
  <dc:subject>Cash Flow Analysis</dc:subject>
  <dc:creator>S. M. Zeglam</dc:creator>
  <cp:lastModifiedBy>Simon John</cp:lastModifiedBy>
  <cp:lastPrinted>2007-06-19T09:03:41Z</cp:lastPrinted>
  <dcterms:created xsi:type="dcterms:W3CDTF">2000-03-21T07:51:05Z</dcterms:created>
  <dcterms:modified xsi:type="dcterms:W3CDTF">2026-09-14T17:01:31Z</dcterms:modified>
</cp:coreProperties>
</file>